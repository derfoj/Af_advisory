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dyl\Downloads\"/>
    </mc:Choice>
  </mc:AlternateContent>
  <xr:revisionPtr revIDLastSave="0" documentId="13_ncr:1_{CBFBECA6-455B-4FD1-802A-54CE7C0FC4CA}" xr6:coauthVersionLast="47" xr6:coauthVersionMax="47" xr10:uidLastSave="{00000000-0000-0000-0000-000000000000}"/>
  <bookViews>
    <workbookView minimized="1" xWindow="5610" yWindow="3225" windowWidth="21600" windowHeight="11295" tabRatio="500" firstSheet="5" activeTab="11" xr2:uid="{00000000-000D-0000-FFFF-FFFF00000000}"/>
  </bookViews>
  <sheets>
    <sheet name="Title" sheetId="3" r:id="rId1"/>
    <sheet name="Start-up-blank" sheetId="10" r:id="rId2"/>
    <sheet name="Start-up" sheetId="1" r:id="rId3"/>
    <sheet name="January-blank" sheetId="11" r:id="rId4"/>
    <sheet name="January" sheetId="4" r:id="rId5"/>
    <sheet name="February-blank" sheetId="12" r:id="rId6"/>
    <sheet name="February" sheetId="5" r:id="rId7"/>
    <sheet name="March-blank" sheetId="13" r:id="rId8"/>
    <sheet name="March" sheetId="14" r:id="rId9"/>
    <sheet name="April-blank" sheetId="15" r:id="rId10"/>
    <sheet name="April" sheetId="16" r:id="rId11"/>
    <sheet name="May - blank" sheetId="26" r:id="rId12"/>
    <sheet name="May - CF analysis" sheetId="25" r:id="rId13"/>
    <sheet name="May" sheetId="22" r:id="rId14"/>
  </sheets>
  <definedNames>
    <definedName name="_xlnm.Print_Area" localSheetId="6">February!$A$1:$G$47</definedName>
    <definedName name="_xlnm.Print_Area" localSheetId="5">'February-blank'!$A$1:$G$47</definedName>
    <definedName name="_xlnm.Print_Area" localSheetId="4">January!$A$1:$G$47</definedName>
    <definedName name="_xlnm.Print_Area" localSheetId="3">'January-blank'!$A$1:$G$47</definedName>
    <definedName name="_xlnm.Print_Area" localSheetId="7">'March-blank'!$A$1:$G$54</definedName>
    <definedName name="_xlnm.Print_Area" localSheetId="13">May!$A$1:$I$81</definedName>
    <definedName name="_xlnm.Print_Area" localSheetId="11">'May - blank'!$A$1:$I$81</definedName>
    <definedName name="_xlnm.Print_Area" localSheetId="12">'May - CF analysis'!$A$1:$I$81</definedName>
    <definedName name="_xlnm.Print_Area" localSheetId="2">'Start-up'!$A$1:$G$29</definedName>
    <definedName name="_xlnm.Print_Area" localSheetId="1">'Start-up-blank'!$A$1:$G$29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7" i="26" l="1"/>
  <c r="C65" i="26"/>
  <c r="C63" i="26"/>
  <c r="C62" i="26"/>
  <c r="C57" i="26"/>
  <c r="C51" i="26"/>
  <c r="C56" i="26"/>
  <c r="C55" i="26"/>
  <c r="C54" i="26"/>
  <c r="C53" i="26"/>
  <c r="C52" i="26"/>
  <c r="C50" i="26"/>
  <c r="C49" i="26"/>
  <c r="C47" i="26"/>
  <c r="C42" i="26"/>
  <c r="C41" i="26"/>
  <c r="C32" i="26"/>
  <c r="C33" i="26"/>
  <c r="C36" i="26"/>
  <c r="C38" i="26"/>
  <c r="C40" i="26"/>
  <c r="C39" i="26"/>
  <c r="C37" i="26"/>
  <c r="C35" i="26"/>
  <c r="C34" i="26"/>
  <c r="C26" i="26"/>
  <c r="C31" i="26"/>
  <c r="C19" i="26"/>
  <c r="F73" i="25"/>
  <c r="F74" i="25"/>
  <c r="C31" i="25"/>
  <c r="C24" i="25"/>
  <c r="C25" i="25"/>
  <c r="C26" i="25"/>
  <c r="C32" i="25"/>
  <c r="C33" i="25"/>
  <c r="C34" i="25"/>
  <c r="C35" i="25"/>
  <c r="C36" i="25"/>
  <c r="C37" i="25"/>
  <c r="C38" i="25"/>
  <c r="C39" i="25"/>
  <c r="C40" i="25"/>
  <c r="C19" i="25"/>
  <c r="C41" i="25"/>
  <c r="C42" i="25"/>
  <c r="F75" i="25"/>
  <c r="F76" i="25"/>
  <c r="F78" i="25"/>
  <c r="F80" i="25"/>
  <c r="F81" i="25"/>
  <c r="C73" i="25"/>
  <c r="C74" i="25"/>
  <c r="C75" i="25"/>
  <c r="C76" i="25"/>
  <c r="C77" i="25"/>
  <c r="C78" i="25"/>
  <c r="C79" i="25"/>
  <c r="C47" i="25"/>
  <c r="C51" i="25"/>
  <c r="C52" i="25"/>
  <c r="C53" i="25"/>
  <c r="C54" i="25"/>
  <c r="C55" i="25"/>
  <c r="C56" i="25"/>
  <c r="C57" i="25"/>
  <c r="C62" i="25"/>
  <c r="C63" i="25"/>
  <c r="C65" i="25"/>
  <c r="C67" i="25"/>
  <c r="C80" i="25"/>
  <c r="C81" i="25"/>
  <c r="C63" i="22"/>
  <c r="C57" i="22"/>
  <c r="F52" i="22"/>
  <c r="F57" i="22"/>
  <c r="F62" i="22"/>
  <c r="F63" i="22"/>
  <c r="F65" i="22"/>
  <c r="F67" i="22"/>
  <c r="F53" i="22"/>
  <c r="F51" i="22"/>
  <c r="I51" i="22"/>
  <c r="I50" i="22"/>
  <c r="I49" i="22"/>
  <c r="F50" i="22"/>
  <c r="F49" i="22"/>
  <c r="F47" i="22"/>
  <c r="F73" i="22"/>
  <c r="F74" i="22"/>
  <c r="C31" i="22"/>
  <c r="C24" i="22"/>
  <c r="C25" i="22"/>
  <c r="C26" i="22"/>
  <c r="C32" i="22"/>
  <c r="C33" i="22"/>
  <c r="C34" i="22"/>
  <c r="C35" i="22"/>
  <c r="C36" i="22"/>
  <c r="C37" i="22"/>
  <c r="C38" i="22"/>
  <c r="C39" i="22"/>
  <c r="C40" i="22"/>
  <c r="C19" i="22"/>
  <c r="C41" i="22"/>
  <c r="C42" i="22"/>
  <c r="F75" i="22"/>
  <c r="F76" i="22"/>
  <c r="F78" i="22"/>
  <c r="F80" i="22"/>
  <c r="F81" i="22"/>
  <c r="C73" i="22"/>
  <c r="C74" i="22"/>
  <c r="C75" i="22"/>
  <c r="C76" i="22"/>
  <c r="C77" i="22"/>
  <c r="C78" i="22"/>
  <c r="C79" i="22"/>
  <c r="C47" i="22"/>
  <c r="C51" i="22"/>
  <c r="C52" i="22"/>
  <c r="C53" i="22"/>
  <c r="C54" i="22"/>
  <c r="C56" i="22"/>
  <c r="C62" i="22"/>
  <c r="C55" i="22"/>
  <c r="C65" i="22"/>
  <c r="C67" i="22"/>
  <c r="C80" i="22"/>
  <c r="C81" i="22"/>
  <c r="F48" i="16"/>
  <c r="F47" i="16"/>
  <c r="C53" i="16"/>
  <c r="C50" i="16"/>
  <c r="C48" i="16"/>
  <c r="C47" i="16"/>
  <c r="F34" i="16"/>
  <c r="F30" i="16"/>
  <c r="F27" i="16"/>
  <c r="C33" i="16"/>
  <c r="C27" i="16"/>
  <c r="C19" i="16"/>
  <c r="C20" i="16"/>
  <c r="C21" i="16"/>
  <c r="C29" i="16"/>
  <c r="C30" i="16"/>
  <c r="C31" i="16"/>
  <c r="C34" i="16"/>
  <c r="F49" i="16"/>
  <c r="F50" i="16"/>
  <c r="F53" i="16"/>
  <c r="C49" i="16"/>
  <c r="C51" i="16"/>
  <c r="F35" i="16"/>
  <c r="F36" i="16"/>
  <c r="F37" i="16"/>
  <c r="F38" i="16"/>
  <c r="F40" i="16"/>
  <c r="C52" i="16"/>
  <c r="F54" i="14"/>
  <c r="F53" i="14"/>
  <c r="F51" i="14"/>
  <c r="F50" i="14"/>
  <c r="F49" i="14"/>
  <c r="F48" i="14"/>
  <c r="C54" i="14"/>
  <c r="C53" i="14"/>
  <c r="C52" i="14"/>
  <c r="C51" i="14"/>
  <c r="C50" i="14"/>
  <c r="C49" i="14"/>
  <c r="C48" i="14"/>
  <c r="F41" i="14"/>
  <c r="F39" i="14"/>
  <c r="F38" i="14"/>
  <c r="F37" i="14"/>
  <c r="F35" i="14"/>
  <c r="F36" i="14"/>
  <c r="F32" i="14"/>
  <c r="F31" i="14"/>
  <c r="F28" i="14"/>
  <c r="C35" i="14"/>
  <c r="C34" i="14"/>
  <c r="C32" i="14"/>
  <c r="C31" i="14"/>
  <c r="C30" i="14"/>
  <c r="C28" i="14"/>
  <c r="C22" i="14"/>
  <c r="C21" i="14"/>
  <c r="C20" i="14"/>
  <c r="C16" i="1"/>
  <c r="C19" i="1"/>
  <c r="C22" i="4"/>
  <c r="F25" i="4"/>
  <c r="F28" i="4"/>
  <c r="F29" i="4"/>
  <c r="F29" i="5"/>
  <c r="F32" i="5"/>
  <c r="F33" i="5"/>
  <c r="F34" i="5"/>
  <c r="F35" i="5"/>
  <c r="C18" i="5"/>
  <c r="C19" i="5"/>
  <c r="C14" i="4"/>
  <c r="C16" i="4"/>
  <c r="C24" i="4"/>
  <c r="C27" i="4"/>
  <c r="F39" i="4"/>
  <c r="F45" i="5"/>
  <c r="C27" i="1"/>
  <c r="F27" i="1"/>
  <c r="F38" i="4"/>
  <c r="C15" i="4"/>
  <c r="C25" i="4"/>
  <c r="C26" i="5"/>
  <c r="C29" i="5"/>
  <c r="C31" i="5"/>
  <c r="C45" i="5"/>
  <c r="F29" i="1"/>
  <c r="C38" i="4"/>
  <c r="C44" i="5"/>
  <c r="F44" i="5"/>
  <c r="C21" i="1"/>
  <c r="C28" i="1"/>
  <c r="F22" i="4"/>
  <c r="F31" i="4"/>
  <c r="C39" i="4"/>
  <c r="C20" i="5"/>
  <c r="C28" i="5"/>
  <c r="F40" i="4"/>
  <c r="C32" i="5"/>
  <c r="F46" i="5"/>
  <c r="F47" i="5"/>
  <c r="C29" i="1"/>
  <c r="C47" i="4"/>
  <c r="C40" i="4"/>
  <c r="F26" i="5"/>
  <c r="F37" i="5"/>
  <c r="C46" i="5"/>
  <c r="C4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Marie-Lys Leschiera</author>
  </authors>
  <commentList>
    <comment ref="H51" authorId="0" shapeId="0" xr:uid="{2B0B800F-4222-3849-98D3-EF93BFE66885}">
      <text>
        <r>
          <rPr>
            <sz val="10"/>
            <color rgb="FF000000"/>
            <rFont val="Tahoma"/>
            <family val="2"/>
          </rPr>
          <t>from April to May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Marie-Lys Leschiera</author>
  </authors>
  <commentList>
    <comment ref="H51" authorId="0" shapeId="0" xr:uid="{C5025C57-52ED-5D41-A709-FACDB6A3DBDB}">
      <text>
        <r>
          <rPr>
            <sz val="10"/>
            <color rgb="FF000000"/>
            <rFont val="Tahoma"/>
            <family val="2"/>
          </rPr>
          <t>from April to May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Marie-Lys Leschiera</author>
  </authors>
  <commentList>
    <comment ref="H51" authorId="0" shapeId="0" xr:uid="{23A3A1CB-7318-4949-A3C4-CCF5F0F4C807}">
      <text>
        <r>
          <rPr>
            <sz val="10"/>
            <color rgb="FF000000"/>
            <rFont val="Tahoma"/>
            <family val="2"/>
          </rPr>
          <t>from April to May</t>
        </r>
      </text>
    </comment>
  </commentList>
</comments>
</file>

<file path=xl/sharedStrings.xml><?xml version="1.0" encoding="utf-8"?>
<sst xmlns="http://schemas.openxmlformats.org/spreadsheetml/2006/main" count="684" uniqueCount="136">
  <si>
    <t>Total</t>
  </si>
  <si>
    <t>COMPANY LAUNCH ON DECEMBER 20th</t>
  </si>
  <si>
    <t>On December 20th, I invest my savings in a new business:</t>
  </si>
  <si>
    <t>On December 22nd, I visit a supermarket to buy the ingredients I need:</t>
  </si>
  <si>
    <t>I enjoy a nice Christmas break for now. I'm excited to begin operations on January 1st!</t>
  </si>
  <si>
    <t>CASH FLOW STATEMENT</t>
  </si>
  <si>
    <t>Cash beginning</t>
  </si>
  <si>
    <t>Cash in</t>
  </si>
  <si>
    <t xml:space="preserve">   Share capital</t>
  </si>
  <si>
    <t>Cash out</t>
  </si>
  <si>
    <t xml:space="preserve">   Food supply</t>
  </si>
  <si>
    <t>Cash end</t>
  </si>
  <si>
    <t>BALANCE SHEET END OF THE MONTH</t>
  </si>
  <si>
    <t>ASSETS</t>
  </si>
  <si>
    <t>Inventory</t>
  </si>
  <si>
    <t>Cash</t>
  </si>
  <si>
    <t>Total assets</t>
  </si>
  <si>
    <t>LIABILITIES &amp; EQUITY</t>
  </si>
  <si>
    <t>Share capital</t>
  </si>
  <si>
    <t>Total liabilities &amp; equity</t>
  </si>
  <si>
    <t>JANUARY</t>
  </si>
  <si>
    <t>The selling price will be:</t>
  </si>
  <si>
    <t>I rent a truck:</t>
  </si>
  <si>
    <t>PRODUCTION COST PER PIZZA</t>
  </si>
  <si>
    <t>INCOME STATEMENT</t>
  </si>
  <si>
    <t>Material cost</t>
  </si>
  <si>
    <t>Water &amp; electricity</t>
  </si>
  <si>
    <t>Sales revenue</t>
  </si>
  <si>
    <t>- Truck rental cost</t>
  </si>
  <si>
    <t>Monthly profit</t>
  </si>
  <si>
    <t xml:space="preserve">   Sales in cash</t>
  </si>
  <si>
    <t xml:space="preserve">   Water &amp; electricity</t>
  </si>
  <si>
    <t xml:space="preserve">   Truck rental cost</t>
  </si>
  <si>
    <t>Profit January</t>
  </si>
  <si>
    <t>HOW MANY PIZZAS DO I NEED TO SELL TO COVER MY COSTS?</t>
  </si>
  <si>
    <t>At the break-even point, my sales revenue equals my total cost (cost of goods sold &amp; truck rental cost), i.e. I make zero earnings.</t>
  </si>
  <si>
    <t xml:space="preserve">Break-even point: </t>
  </si>
  <si>
    <t>FEBRUARY</t>
  </si>
  <si>
    <t>I go back to the supermarket to purchase some more food:</t>
  </si>
  <si>
    <t xml:space="preserve">Food supply: </t>
  </si>
  <si>
    <t>I closed a deal for:</t>
  </si>
  <si>
    <t xml:space="preserve">Water &amp; electricity: </t>
  </si>
  <si>
    <t xml:space="preserve">Part-time employee: </t>
  </si>
  <si>
    <t>Water &amp; Electricity:</t>
  </si>
  <si>
    <t>(food bought at the supermarket earlier this month)</t>
  </si>
  <si>
    <t xml:space="preserve">Material cost: </t>
  </si>
  <si>
    <t xml:space="preserve">   (food bought in December)</t>
  </si>
  <si>
    <t>- Part-time employee</t>
  </si>
  <si>
    <t>- Cost of pizzas sold</t>
  </si>
  <si>
    <t xml:space="preserve">   Part-time employee</t>
  </si>
  <si>
    <t>Accounts receivable</t>
  </si>
  <si>
    <t>Profit February</t>
  </si>
  <si>
    <t>I buy the truck for:</t>
  </si>
  <si>
    <t>(to be paid half in March and half in April)</t>
  </si>
  <si>
    <t>I will use the truck for:</t>
  </si>
  <si>
    <t>in total</t>
  </si>
  <si>
    <t>I visit the supermarket once more to purchase food:</t>
  </si>
  <si>
    <t xml:space="preserve">Plus: </t>
  </si>
  <si>
    <t>to a neighbouring company (payment terms: 30 days)</t>
  </si>
  <si>
    <t>with a neighbouring company (payment terms: 30 days)</t>
  </si>
  <si>
    <t>(past inventory &amp; food just bought at the supermarket)</t>
  </si>
  <si>
    <t xml:space="preserve">Truck insurance: </t>
  </si>
  <si>
    <t>MARCH</t>
  </si>
  <si>
    <t>- Truck insurance</t>
  </si>
  <si>
    <t>- Truck depreciation</t>
  </si>
  <si>
    <t xml:space="preserve">   Acc. Receivable collection</t>
  </si>
  <si>
    <t xml:space="preserve">   Truck purchase</t>
  </si>
  <si>
    <t xml:space="preserve">   Truck insurance</t>
  </si>
  <si>
    <t>LIABILITIES  &amp; EQUITY</t>
  </si>
  <si>
    <t xml:space="preserve">   Gross truck value</t>
  </si>
  <si>
    <t xml:space="preserve">   - Cumulated depreciation</t>
  </si>
  <si>
    <t>Net truck value</t>
  </si>
  <si>
    <t>Owners' equity</t>
  </si>
  <si>
    <t>Debt to truck supplier</t>
  </si>
  <si>
    <t xml:space="preserve">   Retained earnings</t>
  </si>
  <si>
    <t xml:space="preserve">   Monthly profit</t>
  </si>
  <si>
    <t xml:space="preserve">Shareholder investment: </t>
  </si>
  <si>
    <t>MY LITTLE PIZZA FOOD TRUCK</t>
  </si>
  <si>
    <t>I sell:</t>
  </si>
  <si>
    <t>The selling price is:</t>
  </si>
  <si>
    <t xml:space="preserve">   (all customers pay in cash)</t>
  </si>
  <si>
    <t>to individual customers who all pay in cash</t>
  </si>
  <si>
    <t>for all customers (individuals &amp; the neighbouring company)</t>
  </si>
  <si>
    <t>Besides the rental cost of the truck, I bear the following additional expenses:</t>
  </si>
  <si>
    <t>I bear the following additional expenses:</t>
  </si>
  <si>
    <t>APRIL</t>
  </si>
  <si>
    <t>I visit the supermarket to purchase food:</t>
  </si>
  <si>
    <t>to a neighbouring company</t>
  </si>
  <si>
    <t xml:space="preserve">As of this month, new conditions apply when I'm doing business with this corporate customer: </t>
  </si>
  <si>
    <t xml:space="preserve">Selling price: </t>
  </si>
  <si>
    <t>(unchanged)</t>
  </si>
  <si>
    <t>Payment terms:</t>
  </si>
  <si>
    <t>I still use the truck bought in March to I run the operations and bear the following additional expenses:</t>
  </si>
  <si>
    <t xml:space="preserve">   Truck purchase (end)</t>
  </si>
  <si>
    <t>(50% cash payment)</t>
  </si>
  <si>
    <t>The contract closed with this customer last month still applies:</t>
  </si>
  <si>
    <t xml:space="preserve">Payment terms: </t>
  </si>
  <si>
    <t>I will have to bear the following expenses:</t>
  </si>
  <si>
    <t>At the beginning of the month, I manage to borrow money from Alpha-Bank:</t>
  </si>
  <si>
    <t>Amount:</t>
  </si>
  <si>
    <t>(principal of the loan)</t>
  </si>
  <si>
    <t xml:space="preserve">Interest rate: </t>
  </si>
  <si>
    <t>per month</t>
  </si>
  <si>
    <t>I also have to start to pay taxes on my profits:</t>
  </si>
  <si>
    <t xml:space="preserve">Tax rate: </t>
  </si>
  <si>
    <t>- Interest expenses</t>
  </si>
  <si>
    <t>- Taxes</t>
  </si>
  <si>
    <t xml:space="preserve">   Accounts receivable April</t>
  </si>
  <si>
    <t xml:space="preserve">   Accounts receivable May</t>
  </si>
  <si>
    <t>Alpha-Bank loan</t>
  </si>
  <si>
    <t>Accounts receivable (total)</t>
  </si>
  <si>
    <t>Accounts payable</t>
  </si>
  <si>
    <t>MAY</t>
  </si>
  <si>
    <t>Variable margin</t>
  </si>
  <si>
    <t>EBITDA</t>
  </si>
  <si>
    <t>Operating Income (EBIT)</t>
  </si>
  <si>
    <t>Earnings Before Tax</t>
  </si>
  <si>
    <t>Net Income</t>
  </si>
  <si>
    <t>Acc. Receivable collection</t>
  </si>
  <si>
    <t>+ Sales in cash</t>
  </si>
  <si>
    <t>- Food supply</t>
  </si>
  <si>
    <t>- Water &amp; electricity</t>
  </si>
  <si>
    <t>- Tax</t>
  </si>
  <si>
    <t>Cash Flow From Operations</t>
  </si>
  <si>
    <t>Cash Flow From Investments</t>
  </si>
  <si>
    <t>Loan granted by Alpha-bank</t>
  </si>
  <si>
    <t>Cash Flow From Financing activities</t>
  </si>
  <si>
    <t>Total Cash Flow</t>
  </si>
  <si>
    <t>CASH FLOW STATEMENT (direct)</t>
  </si>
  <si>
    <t>CASH FLOW STATEMENT (indirect)</t>
  </si>
  <si>
    <t>+ Depreciation</t>
  </si>
  <si>
    <t>- Increase in Working Capital</t>
  </si>
  <si>
    <t xml:space="preserve">Working Capital April: </t>
  </si>
  <si>
    <t xml:space="preserve">Working Capital May: </t>
  </si>
  <si>
    <t xml:space="preserve">Increase in Working Capital: </t>
  </si>
  <si>
    <t xml:space="preserve">   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</si>
</sst>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)\ &quot;€&quot;_ ;_ * \(#,##0.00\)\ &quot;€&quot;_ ;_ * &quot;-&quot;??_)\ &quot;€&quot;_ ;_ @_ "/>
    <numFmt numFmtId="165" formatCode="0&quot; €&quot;"/>
    <numFmt numFmtId="166" formatCode="0&quot; pizzas&quot;"/>
    <numFmt numFmtId="167" formatCode="0&quot; €/pizza&quot;"/>
    <numFmt numFmtId="168" formatCode="0.00&quot; €/pizza&quot;"/>
    <numFmt numFmtId="169" formatCode="0&quot; ans&quot;"/>
    <numFmt numFmtId="170" formatCode="0\ 000&quot; €&quot;"/>
    <numFmt numFmtId="171" formatCode="0\ 000&quot; pizzas&quot;"/>
    <numFmt numFmtId="172" formatCode="_(&quot;$&quot;* #,##0_);_(&quot;$&quot;* \(#,##0\);_(&quot;$&quot;* &quot;-&quot;??_);_(@_)"/>
    <numFmt numFmtId="173" formatCode="[$$-409]#,##0"/>
    <numFmt numFmtId="174" formatCode="&quot;$&quot;0&quot; /pizza&quot;"/>
    <numFmt numFmtId="175" formatCode="&quot;$&quot;0.00&quot; /pizza&quot;"/>
    <numFmt numFmtId="176" formatCode="0&quot; years&quot;"/>
    <numFmt numFmtId="177" formatCode="0&quot; days&quot;"/>
    <numFmt numFmtId="178" formatCode="0.000%"/>
  </numFmts>
  <fonts count="20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sz val="13"/>
      <color rgb="FF000000"/>
      <name val="Calibri"/>
      <family val="2"/>
    </font>
    <font>
      <i/>
      <sz val="14"/>
      <color rgb="FF000000"/>
      <name val="Calibri"/>
      <family val="2"/>
    </font>
    <font>
      <i/>
      <sz val="13"/>
      <color rgb="FF000000"/>
      <name val="Calibri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185CF"/>
        <bgColor indexed="64"/>
      </patternFill>
    </fill>
    <fill>
      <patternFill patternType="solid">
        <fgColor rgb="FF1185C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3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quotePrefix="1" applyFont="1" applyFill="1" applyAlignment="1">
      <alignment horizontal="left" vertical="center"/>
    </xf>
    <xf numFmtId="166" fontId="2" fillId="2" borderId="0" xfId="0" applyNumberFormat="1" applyFont="1" applyFill="1" applyAlignment="1">
      <alignment vertical="center"/>
    </xf>
    <xf numFmtId="167" fontId="2" fillId="2" borderId="0" xfId="0" applyNumberFormat="1" applyFont="1" applyFill="1" applyAlignment="1">
      <alignment vertical="center"/>
    </xf>
    <xf numFmtId="0" fontId="1" fillId="2" borderId="0" xfId="0" quotePrefix="1" applyFont="1" applyFill="1" applyAlignment="1">
      <alignment horizontal="right" vertical="center" wrapText="1"/>
    </xf>
    <xf numFmtId="168" fontId="2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quotePrefix="1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169" fontId="2" fillId="2" borderId="0" xfId="0" applyNumberFormat="1" applyFont="1" applyFill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9" fillId="2" borderId="3" xfId="0" quotePrefix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" fillId="2" borderId="0" xfId="0" quotePrefix="1" applyFont="1" applyFill="1" applyAlignment="1">
      <alignment vertical="center"/>
    </xf>
    <xf numFmtId="170" fontId="2" fillId="2" borderId="0" xfId="0" applyNumberFormat="1" applyFont="1" applyFill="1" applyAlignment="1">
      <alignment horizontal="left" vertical="center"/>
    </xf>
    <xf numFmtId="170" fontId="2" fillId="2" borderId="0" xfId="0" applyNumberFormat="1" applyFont="1" applyFill="1" applyAlignment="1">
      <alignment vertical="center"/>
    </xf>
    <xf numFmtId="170" fontId="1" fillId="2" borderId="0" xfId="0" applyNumberFormat="1" applyFont="1" applyFill="1" applyAlignment="1">
      <alignment vertical="center"/>
    </xf>
    <xf numFmtId="170" fontId="1" fillId="2" borderId="2" xfId="0" applyNumberFormat="1" applyFont="1" applyFill="1" applyBorder="1" applyAlignment="1">
      <alignment vertical="center"/>
    </xf>
    <xf numFmtId="171" fontId="2" fillId="2" borderId="0" xfId="0" applyNumberFormat="1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173" fontId="2" fillId="2" borderId="0" xfId="0" applyNumberFormat="1" applyFont="1" applyFill="1" applyAlignment="1">
      <alignment horizontal="left" vertical="center"/>
    </xf>
    <xf numFmtId="173" fontId="2" fillId="2" borderId="8" xfId="0" applyNumberFormat="1" applyFont="1" applyFill="1" applyBorder="1" applyAlignment="1">
      <alignment vertical="center"/>
    </xf>
    <xf numFmtId="173" fontId="1" fillId="2" borderId="0" xfId="0" applyNumberFormat="1" applyFont="1" applyFill="1" applyAlignment="1">
      <alignment vertical="center"/>
    </xf>
    <xf numFmtId="173" fontId="1" fillId="2" borderId="2" xfId="0" applyNumberFormat="1" applyFont="1" applyFill="1" applyBorder="1" applyAlignment="1">
      <alignment vertical="center"/>
    </xf>
    <xf numFmtId="173" fontId="1" fillId="2" borderId="6" xfId="0" applyNumberFormat="1" applyFont="1" applyFill="1" applyBorder="1" applyAlignment="1">
      <alignment vertical="center"/>
    </xf>
    <xf numFmtId="173" fontId="1" fillId="2" borderId="4" xfId="0" applyNumberFormat="1" applyFont="1" applyFill="1" applyBorder="1" applyAlignment="1">
      <alignment vertical="center"/>
    </xf>
    <xf numFmtId="175" fontId="1" fillId="2" borderId="2" xfId="0" applyNumberFormat="1" applyFont="1" applyFill="1" applyBorder="1" applyAlignment="1">
      <alignment horizontal="right" vertical="center"/>
    </xf>
    <xf numFmtId="175" fontId="1" fillId="2" borderId="6" xfId="0" applyNumberFormat="1" applyFont="1" applyFill="1" applyBorder="1" applyAlignment="1">
      <alignment horizontal="right" vertical="center"/>
    </xf>
    <xf numFmtId="175" fontId="2" fillId="2" borderId="6" xfId="0" applyNumberFormat="1" applyFont="1" applyFill="1" applyBorder="1" applyAlignment="1">
      <alignment horizontal="right" vertical="center"/>
    </xf>
    <xf numFmtId="172" fontId="1" fillId="2" borderId="3" xfId="3" applyNumberFormat="1" applyFont="1" applyFill="1" applyBorder="1" applyAlignment="1">
      <alignment vertical="center"/>
    </xf>
    <xf numFmtId="172" fontId="2" fillId="2" borderId="7" xfId="3" applyNumberFormat="1" applyFont="1" applyFill="1" applyBorder="1" applyAlignment="1">
      <alignment vertical="center"/>
    </xf>
    <xf numFmtId="173" fontId="2" fillId="2" borderId="0" xfId="0" applyNumberFormat="1" applyFont="1" applyFill="1" applyAlignment="1">
      <alignment horizontal="right" vertical="center"/>
    </xf>
    <xf numFmtId="166" fontId="2" fillId="2" borderId="0" xfId="0" applyNumberFormat="1" applyFont="1" applyFill="1" applyAlignment="1">
      <alignment horizontal="right" vertical="center"/>
    </xf>
    <xf numFmtId="174" fontId="2" fillId="2" borderId="0" xfId="0" applyNumberFormat="1" applyFont="1" applyFill="1" applyAlignment="1">
      <alignment horizontal="right" vertical="center"/>
    </xf>
    <xf numFmtId="167" fontId="2" fillId="2" borderId="0" xfId="0" applyNumberFormat="1" applyFont="1" applyFill="1" applyAlignment="1">
      <alignment horizontal="right" vertical="center"/>
    </xf>
    <xf numFmtId="175" fontId="2" fillId="2" borderId="0" xfId="0" applyNumberFormat="1" applyFont="1" applyFill="1" applyAlignment="1">
      <alignment horizontal="right" vertical="center"/>
    </xf>
    <xf numFmtId="176" fontId="2" fillId="2" borderId="0" xfId="0" applyNumberFormat="1" applyFont="1" applyFill="1" applyAlignment="1">
      <alignment horizontal="right" vertical="center"/>
    </xf>
    <xf numFmtId="173" fontId="2" fillId="2" borderId="6" xfId="0" applyNumberFormat="1" applyFont="1" applyFill="1" applyBorder="1" applyAlignment="1">
      <alignment vertical="center"/>
    </xf>
    <xf numFmtId="173" fontId="9" fillId="2" borderId="4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177" fontId="2" fillId="2" borderId="0" xfId="0" applyNumberFormat="1" applyFont="1" applyFill="1" applyAlignment="1">
      <alignment vertical="center"/>
    </xf>
    <xf numFmtId="0" fontId="13" fillId="7" borderId="0" xfId="0" applyFont="1" applyFill="1" applyAlignment="1">
      <alignment vertical="center"/>
    </xf>
    <xf numFmtId="170" fontId="14" fillId="7" borderId="0" xfId="0" applyNumberFormat="1" applyFont="1" applyFill="1" applyAlignment="1">
      <alignment vertical="center"/>
    </xf>
    <xf numFmtId="165" fontId="14" fillId="7" borderId="0" xfId="0" applyNumberFormat="1" applyFont="1" applyFill="1" applyAlignment="1">
      <alignment horizontal="left" vertical="center"/>
    </xf>
    <xf numFmtId="0" fontId="13" fillId="7" borderId="0" xfId="0" quotePrefix="1" applyFont="1" applyFill="1" applyAlignment="1">
      <alignment horizontal="right" vertical="center" wrapText="1"/>
    </xf>
    <xf numFmtId="173" fontId="14" fillId="7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 wrapText="1"/>
    </xf>
    <xf numFmtId="171" fontId="14" fillId="7" borderId="0" xfId="0" applyNumberFormat="1" applyFont="1" applyFill="1" applyAlignment="1">
      <alignment vertical="center"/>
    </xf>
    <xf numFmtId="0" fontId="13" fillId="7" borderId="0" xfId="0" quotePrefix="1" applyFont="1" applyFill="1" applyAlignment="1">
      <alignment horizontal="right" vertical="center"/>
    </xf>
    <xf numFmtId="174" fontId="14" fillId="7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right" vertical="center"/>
    </xf>
    <xf numFmtId="177" fontId="14" fillId="7" borderId="0" xfId="0" applyNumberFormat="1" applyFont="1" applyFill="1" applyAlignment="1">
      <alignment vertical="center"/>
    </xf>
    <xf numFmtId="0" fontId="13" fillId="7" borderId="0" xfId="0" quotePrefix="1" applyFont="1" applyFill="1" applyAlignment="1">
      <alignment horizontal="left" vertical="center"/>
    </xf>
    <xf numFmtId="167" fontId="14" fillId="7" borderId="0" xfId="0" applyNumberFormat="1" applyFont="1" applyFill="1" applyAlignment="1">
      <alignment vertical="center"/>
    </xf>
    <xf numFmtId="175" fontId="14" fillId="7" borderId="0" xfId="0" applyNumberFormat="1" applyFont="1" applyFill="1" applyAlignment="1">
      <alignment horizontal="right" vertical="center"/>
    </xf>
    <xf numFmtId="169" fontId="14" fillId="7" borderId="0" xfId="0" applyNumberFormat="1" applyFont="1" applyFill="1" applyAlignment="1">
      <alignment horizontal="right" vertical="center"/>
    </xf>
    <xf numFmtId="168" fontId="14" fillId="7" borderId="0" xfId="0" applyNumberFormat="1" applyFont="1" applyFill="1" applyAlignment="1">
      <alignment vertical="center"/>
    </xf>
    <xf numFmtId="0" fontId="13" fillId="7" borderId="1" xfId="0" applyFont="1" applyFill="1" applyBorder="1" applyAlignment="1">
      <alignment vertical="center"/>
    </xf>
    <xf numFmtId="175" fontId="13" fillId="7" borderId="2" xfId="0" applyNumberFormat="1" applyFont="1" applyFill="1" applyBorder="1" applyAlignment="1">
      <alignment horizontal="right" vertical="center"/>
    </xf>
    <xf numFmtId="0" fontId="13" fillId="7" borderId="5" xfId="0" applyFont="1" applyFill="1" applyBorder="1" applyAlignment="1">
      <alignment vertical="center"/>
    </xf>
    <xf numFmtId="175" fontId="13" fillId="7" borderId="6" xfId="0" applyNumberFormat="1" applyFont="1" applyFill="1" applyBorder="1" applyAlignment="1">
      <alignment horizontal="right" vertical="center"/>
    </xf>
    <xf numFmtId="0" fontId="14" fillId="7" borderId="7" xfId="0" applyFont="1" applyFill="1" applyBorder="1" applyAlignment="1">
      <alignment vertical="center"/>
    </xf>
    <xf numFmtId="175" fontId="14" fillId="7" borderId="6" xfId="0" applyNumberFormat="1" applyFont="1" applyFill="1" applyBorder="1" applyAlignment="1">
      <alignment horizontal="right" vertical="center"/>
    </xf>
    <xf numFmtId="173" fontId="13" fillId="7" borderId="2" xfId="0" applyNumberFormat="1" applyFont="1" applyFill="1" applyBorder="1" applyAlignment="1">
      <alignment vertical="center"/>
    </xf>
    <xf numFmtId="173" fontId="14" fillId="7" borderId="8" xfId="0" applyNumberFormat="1" applyFont="1" applyFill="1" applyBorder="1" applyAlignment="1">
      <alignment vertical="center"/>
    </xf>
    <xf numFmtId="0" fontId="13" fillId="7" borderId="3" xfId="0" applyFont="1" applyFill="1" applyBorder="1" applyAlignment="1">
      <alignment vertical="center"/>
    </xf>
    <xf numFmtId="173" fontId="13" fillId="7" borderId="4" xfId="0" applyNumberFormat="1" applyFont="1" applyFill="1" applyBorder="1" applyAlignment="1">
      <alignment vertical="center"/>
    </xf>
    <xf numFmtId="170" fontId="13" fillId="7" borderId="0" xfId="0" applyNumberFormat="1" applyFont="1" applyFill="1" applyAlignment="1">
      <alignment vertical="center"/>
    </xf>
    <xf numFmtId="0" fontId="13" fillId="7" borderId="3" xfId="0" quotePrefix="1" applyFont="1" applyFill="1" applyBorder="1" applyAlignment="1">
      <alignment vertical="center"/>
    </xf>
    <xf numFmtId="0" fontId="14" fillId="7" borderId="1" xfId="0" applyFont="1" applyFill="1" applyBorder="1" applyAlignment="1">
      <alignment vertical="center"/>
    </xf>
    <xf numFmtId="170" fontId="13" fillId="7" borderId="2" xfId="0" applyNumberFormat="1" applyFont="1" applyFill="1" applyBorder="1" applyAlignment="1">
      <alignment vertical="center"/>
    </xf>
    <xf numFmtId="0" fontId="16" fillId="7" borderId="3" xfId="0" applyFont="1" applyFill="1" applyBorder="1" applyAlignment="1">
      <alignment vertical="center"/>
    </xf>
    <xf numFmtId="173" fontId="13" fillId="7" borderId="6" xfId="0" applyNumberFormat="1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165" fontId="14" fillId="7" borderId="0" xfId="0" applyNumberFormat="1" applyFont="1" applyFill="1" applyAlignment="1">
      <alignment vertical="center"/>
    </xf>
    <xf numFmtId="0" fontId="17" fillId="7" borderId="1" xfId="0" applyFont="1" applyFill="1" applyBorder="1" applyAlignment="1">
      <alignment horizontal="left" vertical="center"/>
    </xf>
    <xf numFmtId="173" fontId="17" fillId="7" borderId="4" xfId="0" applyNumberFormat="1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17" fillId="7" borderId="3" xfId="0" quotePrefix="1" applyFont="1" applyFill="1" applyBorder="1" applyAlignment="1">
      <alignment horizontal="left" vertical="center"/>
    </xf>
    <xf numFmtId="0" fontId="17" fillId="7" borderId="3" xfId="0" applyFont="1" applyFill="1" applyBorder="1" applyAlignment="1">
      <alignment vertical="center"/>
    </xf>
    <xf numFmtId="0" fontId="13" fillId="7" borderId="3" xfId="0" applyFont="1" applyFill="1" applyBorder="1" applyAlignment="1">
      <alignment horizontal="left" vertical="center"/>
    </xf>
    <xf numFmtId="9" fontId="14" fillId="7" borderId="0" xfId="4" quotePrefix="1" applyFont="1" applyFill="1" applyBorder="1" applyAlignment="1">
      <alignment horizontal="right" vertical="center" wrapText="1"/>
    </xf>
    <xf numFmtId="178" fontId="14" fillId="7" borderId="0" xfId="4" quotePrefix="1" applyNumberFormat="1" applyFont="1" applyFill="1" applyBorder="1" applyAlignment="1">
      <alignment horizontal="right" vertical="center" wrapText="1"/>
    </xf>
    <xf numFmtId="0" fontId="18" fillId="7" borderId="3" xfId="0" applyFont="1" applyFill="1" applyBorder="1" applyAlignment="1">
      <alignment vertical="center"/>
    </xf>
    <xf numFmtId="0" fontId="14" fillId="7" borderId="3" xfId="0" applyFont="1" applyFill="1" applyBorder="1" applyAlignment="1">
      <alignment vertical="center"/>
    </xf>
    <xf numFmtId="0" fontId="14" fillId="7" borderId="3" xfId="0" quotePrefix="1" applyFont="1" applyFill="1" applyBorder="1" applyAlignment="1">
      <alignment vertical="center"/>
    </xf>
    <xf numFmtId="173" fontId="14" fillId="7" borderId="4" xfId="0" applyNumberFormat="1" applyFont="1" applyFill="1" applyBorder="1" applyAlignment="1">
      <alignment vertical="center"/>
    </xf>
    <xf numFmtId="173" fontId="13" fillId="7" borderId="0" xfId="0" applyNumberFormat="1" applyFont="1" applyFill="1" applyAlignment="1">
      <alignment vertical="center"/>
    </xf>
    <xf numFmtId="173" fontId="14" fillId="7" borderId="0" xfId="0" applyNumberFormat="1" applyFont="1" applyFill="1" applyAlignment="1">
      <alignment vertical="center"/>
    </xf>
    <xf numFmtId="0" fontId="14" fillId="7" borderId="5" xfId="0" applyFont="1" applyFill="1" applyBorder="1" applyAlignment="1">
      <alignment vertical="center"/>
    </xf>
    <xf numFmtId="173" fontId="14" fillId="7" borderId="6" xfId="0" applyNumberFormat="1" applyFont="1" applyFill="1" applyBorder="1" applyAlignment="1">
      <alignment vertical="center"/>
    </xf>
    <xf numFmtId="165" fontId="13" fillId="7" borderId="0" xfId="0" applyNumberFormat="1" applyFont="1" applyFill="1" applyAlignment="1">
      <alignment vertical="center"/>
    </xf>
    <xf numFmtId="0" fontId="13" fillId="7" borderId="1" xfId="0" quotePrefix="1" applyFont="1" applyFill="1" applyBorder="1" applyAlignment="1">
      <alignment vertical="center"/>
    </xf>
    <xf numFmtId="173" fontId="13" fillId="9" borderId="4" xfId="0" applyNumberFormat="1" applyFont="1" applyFill="1" applyBorder="1" applyAlignment="1">
      <alignment vertical="center"/>
    </xf>
    <xf numFmtId="0" fontId="13" fillId="7" borderId="0" xfId="0" quotePrefix="1" applyFont="1" applyFill="1" applyAlignment="1">
      <alignment vertical="center" wrapText="1"/>
    </xf>
    <xf numFmtId="173" fontId="14" fillId="9" borderId="8" xfId="0" applyNumberFormat="1" applyFont="1" applyFill="1" applyBorder="1" applyAlignment="1">
      <alignment vertical="center"/>
    </xf>
    <xf numFmtId="0" fontId="13" fillId="9" borderId="0" xfId="0" applyFont="1" applyFill="1" applyAlignment="1">
      <alignment vertical="center"/>
    </xf>
    <xf numFmtId="173" fontId="13" fillId="9" borderId="2" xfId="0" applyNumberFormat="1" applyFont="1" applyFill="1" applyBorder="1" applyAlignment="1">
      <alignment vertical="center"/>
    </xf>
    <xf numFmtId="0" fontId="17" fillId="9" borderId="1" xfId="0" applyFont="1" applyFill="1" applyBorder="1" applyAlignment="1">
      <alignment horizontal="right" vertical="center"/>
    </xf>
    <xf numFmtId="173" fontId="17" fillId="9" borderId="2" xfId="0" applyNumberFormat="1" applyFont="1" applyFill="1" applyBorder="1" applyAlignment="1">
      <alignment vertical="center"/>
    </xf>
    <xf numFmtId="0" fontId="17" fillId="9" borderId="3" xfId="0" applyFont="1" applyFill="1" applyBorder="1" applyAlignment="1">
      <alignment horizontal="right" vertical="center"/>
    </xf>
    <xf numFmtId="173" fontId="17" fillId="9" borderId="4" xfId="0" applyNumberFormat="1" applyFont="1" applyFill="1" applyBorder="1" applyAlignment="1">
      <alignment vertical="center"/>
    </xf>
    <xf numFmtId="0" fontId="17" fillId="9" borderId="5" xfId="0" applyFont="1" applyFill="1" applyBorder="1" applyAlignment="1">
      <alignment horizontal="right" vertical="center"/>
    </xf>
    <xf numFmtId="173" fontId="17" fillId="9" borderId="6" xfId="0" applyNumberFormat="1" applyFont="1" applyFill="1" applyBorder="1" applyAlignment="1">
      <alignment vertical="center"/>
    </xf>
    <xf numFmtId="0" fontId="13" fillId="9" borderId="4" xfId="0" applyFont="1" applyFill="1" applyBorder="1" applyAlignment="1">
      <alignment vertical="center"/>
    </xf>
    <xf numFmtId="173" fontId="14" fillId="9" borderId="6" xfId="0" applyNumberFormat="1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2" fontId="3" fillId="5" borderId="0" xfId="3" applyNumberFormat="1" applyFont="1" applyFill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72" fontId="15" fillId="6" borderId="0" xfId="3" applyNumberFormat="1" applyFont="1" applyFill="1" applyBorder="1" applyAlignment="1">
      <alignment horizontal="center" vertical="center"/>
    </xf>
    <xf numFmtId="0" fontId="13" fillId="7" borderId="0" xfId="0" quotePrefix="1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5" fillId="8" borderId="0" xfId="0" applyFont="1" applyFill="1" applyAlignment="1">
      <alignment horizontal="center" vertical="center"/>
    </xf>
  </cellXfs>
  <cellStyles count="5">
    <cellStyle name="Lien hypertexte" xfId="1" builtinId="8" hidden="1"/>
    <cellStyle name="Lien hypertexte visité" xfId="2" builtinId="9" hidden="1"/>
    <cellStyle name="Monétaire" xfId="3" builtinId="4"/>
    <cellStyle name="Normal" xfId="0" builtinId="0"/>
    <cellStyle name="Pourcentage" xfId="4" builtinId="5"/>
  </cellStyles>
  <dxfs count="0"/>
  <tableStyles count="0" defaultTableStyle="TableStyleMedium9" defaultPivotStyle="PivotStyleMedium7"/>
  <colors>
    <mruColors>
      <color rgb="FF007374"/>
      <color rgb="FF1185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zoomScale="120" zoomScaleNormal="120" workbookViewId="0">
      <selection sqref="A1:G3"/>
    </sheetView>
  </sheetViews>
  <sheetFormatPr baseColWidth="10" defaultColWidth="10.875" defaultRowHeight="18.75" x14ac:dyDescent="0.25"/>
  <cols>
    <col min="1" max="1" width="3.875" style="1" customWidth="1"/>
    <col min="2" max="2" width="24.625" style="1" bestFit="1" customWidth="1"/>
    <col min="3" max="4" width="10.875" style="1"/>
    <col min="5" max="5" width="24.625" style="1" bestFit="1" customWidth="1"/>
    <col min="6" max="6" width="10.875" style="1"/>
    <col min="7" max="7" width="3.625" style="1" customWidth="1"/>
    <col min="8" max="16384" width="10.875" style="1"/>
  </cols>
  <sheetData>
    <row r="1" spans="1:7" ht="24" customHeight="1" x14ac:dyDescent="0.25">
      <c r="A1" s="123" t="s">
        <v>77</v>
      </c>
      <c r="B1" s="123"/>
      <c r="C1" s="123"/>
      <c r="D1" s="123"/>
      <c r="E1" s="123"/>
      <c r="F1" s="123"/>
      <c r="G1" s="123"/>
    </row>
    <row r="2" spans="1:7" x14ac:dyDescent="0.25">
      <c r="A2" s="123"/>
      <c r="B2" s="123"/>
      <c r="C2" s="123"/>
      <c r="D2" s="123"/>
      <c r="E2" s="123"/>
      <c r="F2" s="123"/>
      <c r="G2" s="123"/>
    </row>
    <row r="3" spans="1:7" x14ac:dyDescent="0.25">
      <c r="A3" s="123"/>
      <c r="B3" s="123"/>
      <c r="C3" s="123"/>
      <c r="D3" s="123"/>
      <c r="E3" s="123"/>
      <c r="F3" s="123"/>
      <c r="G3" s="123"/>
    </row>
  </sheetData>
  <mergeCells count="1">
    <mergeCell ref="A1:G3"/>
  </mergeCells>
  <phoneticPr fontId="7" type="noConversion"/>
  <printOptions horizontalCentered="1" verticalCentered="1"/>
  <pageMargins left="0.70000000000000007" right="0.70000000000000007" top="0.75000000000000011" bottom="0.75000000000000011" header="0.30000000000000004" footer="0.30000000000000004"/>
  <pageSetup paperSize="9" scale="89" orientation="portrait" horizontalDpi="0" verticalDpi="0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1DB8-5DB0-DB4A-B293-F97E0977E141}">
  <sheetPr>
    <pageSetUpPr fitToPage="1"/>
  </sheetPr>
  <dimension ref="A1:G29"/>
  <sheetViews>
    <sheetView zoomScale="120" zoomScaleNormal="120" workbookViewId="0">
      <selection sqref="A1:G1"/>
    </sheetView>
  </sheetViews>
  <sheetFormatPr baseColWidth="10" defaultColWidth="10.875" defaultRowHeight="18.75" x14ac:dyDescent="0.25"/>
  <cols>
    <col min="1" max="1" width="3.625" style="1" customWidth="1"/>
    <col min="2" max="2" width="24.5" style="1" customWidth="1"/>
    <col min="3" max="3" width="17.375" style="1" customWidth="1"/>
    <col min="4" max="4" width="4.875" style="1" customWidth="1"/>
    <col min="5" max="5" width="26.625" style="1" customWidth="1"/>
    <col min="6" max="6" width="17.37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1</v>
      </c>
      <c r="B1" s="124"/>
      <c r="C1" s="124"/>
      <c r="D1" s="124"/>
      <c r="E1" s="124"/>
      <c r="F1" s="124"/>
      <c r="G1" s="124"/>
    </row>
    <row r="4" spans="1:7" x14ac:dyDescent="0.25">
      <c r="B4" s="1" t="s">
        <v>2</v>
      </c>
    </row>
    <row r="5" spans="1:7" x14ac:dyDescent="0.25">
      <c r="B5" s="26" t="s">
        <v>76</v>
      </c>
      <c r="C5" s="35">
        <v>5000</v>
      </c>
      <c r="F5" s="27"/>
    </row>
    <row r="6" spans="1:7" x14ac:dyDescent="0.25">
      <c r="B6" s="1" t="s">
        <v>3</v>
      </c>
      <c r="C6" s="20"/>
    </row>
    <row r="7" spans="1:7" x14ac:dyDescent="0.25">
      <c r="B7" s="2" t="s">
        <v>39</v>
      </c>
      <c r="C7" s="35">
        <v>750</v>
      </c>
    </row>
    <row r="8" spans="1:7" ht="18.95" customHeight="1" x14ac:dyDescent="0.25">
      <c r="B8" s="125" t="s">
        <v>4</v>
      </c>
      <c r="C8" s="125"/>
      <c r="D8" s="125"/>
      <c r="E8" s="125"/>
      <c r="F8" s="125"/>
      <c r="G8" s="125"/>
    </row>
    <row r="9" spans="1:7" x14ac:dyDescent="0.25">
      <c r="B9" s="34"/>
      <c r="C9" s="34"/>
      <c r="D9" s="34"/>
      <c r="E9" s="34"/>
      <c r="F9" s="34"/>
    </row>
    <row r="11" spans="1:7" x14ac:dyDescent="0.25">
      <c r="B11" s="126" t="s">
        <v>5</v>
      </c>
      <c r="C11" s="126"/>
      <c r="D11" s="126"/>
      <c r="E11" s="126"/>
      <c r="F11" s="126"/>
    </row>
    <row r="13" spans="1:7" x14ac:dyDescent="0.25">
      <c r="B13" s="7" t="s">
        <v>6</v>
      </c>
      <c r="C13" s="36"/>
    </row>
    <row r="14" spans="1:7" ht="6" customHeight="1" x14ac:dyDescent="0.25">
      <c r="C14" s="37"/>
    </row>
    <row r="15" spans="1:7" x14ac:dyDescent="0.25">
      <c r="B15" s="8" t="s">
        <v>7</v>
      </c>
      <c r="C15" s="38"/>
    </row>
    <row r="16" spans="1:7" x14ac:dyDescent="0.25">
      <c r="B16" s="10" t="s">
        <v>8</v>
      </c>
      <c r="C16" s="39"/>
    </row>
    <row r="17" spans="2:6" ht="6" customHeight="1" x14ac:dyDescent="0.25">
      <c r="C17" s="37"/>
    </row>
    <row r="18" spans="2:6" x14ac:dyDescent="0.25">
      <c r="B18" s="8" t="s">
        <v>9</v>
      </c>
      <c r="C18" s="38"/>
    </row>
    <row r="19" spans="2:6" x14ac:dyDescent="0.25">
      <c r="B19" s="10" t="s">
        <v>10</v>
      </c>
      <c r="C19" s="39"/>
    </row>
    <row r="20" spans="2:6" ht="6" customHeight="1" x14ac:dyDescent="0.25">
      <c r="C20" s="37"/>
    </row>
    <row r="21" spans="2:6" x14ac:dyDescent="0.25">
      <c r="B21" s="7" t="s">
        <v>11</v>
      </c>
      <c r="C21" s="36"/>
    </row>
    <row r="22" spans="2:6" x14ac:dyDescent="0.25">
      <c r="B22" s="3"/>
      <c r="C22" s="5"/>
    </row>
    <row r="24" spans="2:6" x14ac:dyDescent="0.25">
      <c r="B24" s="126" t="s">
        <v>12</v>
      </c>
      <c r="C24" s="126"/>
      <c r="D24" s="126"/>
      <c r="E24" s="126"/>
      <c r="F24" s="126"/>
    </row>
    <row r="26" spans="2:6" x14ac:dyDescent="0.25">
      <c r="B26" s="127" t="s">
        <v>13</v>
      </c>
      <c r="C26" s="128"/>
      <c r="D26" s="3"/>
      <c r="E26" s="127" t="s">
        <v>17</v>
      </c>
      <c r="F26" s="128"/>
    </row>
    <row r="27" spans="2:6" x14ac:dyDescent="0.25">
      <c r="B27" s="6" t="s">
        <v>14</v>
      </c>
      <c r="C27" s="40"/>
      <c r="E27" s="6" t="s">
        <v>18</v>
      </c>
      <c r="F27" s="40"/>
    </row>
    <row r="28" spans="2:6" x14ac:dyDescent="0.25">
      <c r="B28" s="6" t="s">
        <v>15</v>
      </c>
      <c r="C28" s="40"/>
      <c r="E28" s="6"/>
      <c r="F28" s="40"/>
    </row>
    <row r="29" spans="2:6" x14ac:dyDescent="0.25">
      <c r="B29" s="7" t="s">
        <v>16</v>
      </c>
      <c r="C29" s="36"/>
      <c r="D29" s="3"/>
      <c r="E29" s="7" t="s">
        <v>19</v>
      </c>
      <c r="F29" s="36"/>
    </row>
  </sheetData>
  <mergeCells count="6">
    <mergeCell ref="A1:G1"/>
    <mergeCell ref="B8:G8"/>
    <mergeCell ref="B11:F11"/>
    <mergeCell ref="B24:F24"/>
    <mergeCell ref="B26:C26"/>
    <mergeCell ref="E26:F26"/>
  </mergeCells>
  <printOptions horizontalCentered="1"/>
  <pageMargins left="0.70000000000000007" right="0.70000000000000007" top="0.75000000000000011" bottom="0.75000000000000011" header="0.30000000000000004" footer="0.30000000000000004"/>
  <pageSetup paperSize="9" scale="84" orientation="portrait" horizontalDpi="0" verticalDpi="0" copies="15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9"/>
  <sheetViews>
    <sheetView topLeftCell="A6" zoomScale="120" zoomScaleNormal="120" workbookViewId="0">
      <selection activeCell="F29" sqref="F29"/>
    </sheetView>
  </sheetViews>
  <sheetFormatPr baseColWidth="10" defaultColWidth="10.875" defaultRowHeight="18.75" x14ac:dyDescent="0.25"/>
  <cols>
    <col min="1" max="1" width="3.625" style="1" customWidth="1"/>
    <col min="2" max="2" width="24.5" style="1" customWidth="1"/>
    <col min="3" max="3" width="17.375" style="1" customWidth="1"/>
    <col min="4" max="4" width="4.875" style="1" customWidth="1"/>
    <col min="5" max="5" width="26.625" style="1" customWidth="1"/>
    <col min="6" max="6" width="17.37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1</v>
      </c>
      <c r="B1" s="124"/>
      <c r="C1" s="124"/>
      <c r="D1" s="124"/>
      <c r="E1" s="124"/>
      <c r="F1" s="124"/>
      <c r="G1" s="124"/>
    </row>
    <row r="4" spans="1:7" x14ac:dyDescent="0.25">
      <c r="B4" s="1" t="s">
        <v>2</v>
      </c>
    </row>
    <row r="5" spans="1:7" x14ac:dyDescent="0.25">
      <c r="B5" s="26" t="s">
        <v>76</v>
      </c>
      <c r="C5" s="35">
        <v>5000</v>
      </c>
      <c r="F5" s="27"/>
    </row>
    <row r="6" spans="1:7" x14ac:dyDescent="0.25">
      <c r="B6" s="1" t="s">
        <v>3</v>
      </c>
      <c r="C6" s="20"/>
    </row>
    <row r="7" spans="1:7" x14ac:dyDescent="0.25">
      <c r="B7" s="2" t="s">
        <v>39</v>
      </c>
      <c r="C7" s="35">
        <v>750</v>
      </c>
    </row>
    <row r="8" spans="1:7" ht="18.95" customHeight="1" x14ac:dyDescent="0.25">
      <c r="B8" s="125" t="s">
        <v>4</v>
      </c>
      <c r="C8" s="125"/>
      <c r="D8" s="125"/>
      <c r="E8" s="125"/>
      <c r="F8" s="125"/>
      <c r="G8" s="125"/>
    </row>
    <row r="9" spans="1:7" x14ac:dyDescent="0.25">
      <c r="B9" s="34"/>
      <c r="C9" s="34"/>
      <c r="D9" s="34"/>
      <c r="E9" s="34"/>
      <c r="F9" s="34"/>
    </row>
    <row r="11" spans="1:7" x14ac:dyDescent="0.25">
      <c r="B11" s="126" t="s">
        <v>5</v>
      </c>
      <c r="C11" s="126"/>
      <c r="D11" s="126"/>
      <c r="E11" s="126"/>
      <c r="F11" s="126"/>
    </row>
    <row r="13" spans="1:7" x14ac:dyDescent="0.25">
      <c r="B13" s="7" t="s">
        <v>6</v>
      </c>
      <c r="C13" s="36">
        <v>0</v>
      </c>
    </row>
    <row r="14" spans="1:7" ht="6" customHeight="1" x14ac:dyDescent="0.25">
      <c r="C14" s="37"/>
    </row>
    <row r="15" spans="1:7" x14ac:dyDescent="0.25">
      <c r="B15" s="8" t="s">
        <v>7</v>
      </c>
      <c r="C15" s="38"/>
    </row>
    <row r="16" spans="1:7" x14ac:dyDescent="0.25">
      <c r="B16" s="10" t="s">
        <v>8</v>
      </c>
      <c r="C16" s="39">
        <f>C5</f>
        <v>5000</v>
      </c>
    </row>
    <row r="17" spans="2:6" ht="6" customHeight="1" x14ac:dyDescent="0.25">
      <c r="C17" s="37"/>
    </row>
    <row r="18" spans="2:6" x14ac:dyDescent="0.25">
      <c r="B18" s="8" t="s">
        <v>9</v>
      </c>
      <c r="C18" s="38"/>
    </row>
    <row r="19" spans="2:6" x14ac:dyDescent="0.25">
      <c r="B19" s="10" t="s">
        <v>10</v>
      </c>
      <c r="C19" s="39">
        <f>-C7</f>
        <v>-750</v>
      </c>
    </row>
    <row r="20" spans="2:6" ht="6" customHeight="1" x14ac:dyDescent="0.25">
      <c r="C20" s="37"/>
    </row>
    <row r="21" spans="2:6" x14ac:dyDescent="0.25">
      <c r="B21" s="7" t="s">
        <v>11</v>
      </c>
      <c r="C21" s="36">
        <f>C13+C16+C19</f>
        <v>4250</v>
      </c>
    </row>
    <row r="22" spans="2:6" x14ac:dyDescent="0.25">
      <c r="B22" s="3"/>
      <c r="C22" s="5"/>
    </row>
    <row r="24" spans="2:6" x14ac:dyDescent="0.25">
      <c r="B24" s="126" t="s">
        <v>12</v>
      </c>
      <c r="C24" s="126"/>
      <c r="D24" s="126"/>
      <c r="E24" s="126"/>
      <c r="F24" s="126"/>
    </row>
    <row r="26" spans="2:6" x14ac:dyDescent="0.25">
      <c r="B26" s="127" t="s">
        <v>13</v>
      </c>
      <c r="C26" s="128"/>
      <c r="D26" s="3"/>
      <c r="E26" s="127" t="s">
        <v>17</v>
      </c>
      <c r="F26" s="128"/>
    </row>
    <row r="27" spans="2:6" x14ac:dyDescent="0.25">
      <c r="B27" s="6" t="s">
        <v>14</v>
      </c>
      <c r="C27" s="40">
        <f>C7</f>
        <v>750</v>
      </c>
      <c r="E27" s="6" t="s">
        <v>18</v>
      </c>
      <c r="F27" s="40">
        <f>C5</f>
        <v>5000</v>
      </c>
    </row>
    <row r="28" spans="2:6" x14ac:dyDescent="0.25">
      <c r="B28" s="6" t="s">
        <v>15</v>
      </c>
      <c r="C28" s="40">
        <f>C21</f>
        <v>4250</v>
      </c>
      <c r="E28" s="6"/>
      <c r="F28" s="40"/>
    </row>
    <row r="29" spans="2:6" x14ac:dyDescent="0.25">
      <c r="B29" s="7" t="s">
        <v>16</v>
      </c>
      <c r="C29" s="36">
        <f>SUM(C27:C28)</f>
        <v>5000</v>
      </c>
      <c r="D29" s="3"/>
      <c r="E29" s="7" t="s">
        <v>19</v>
      </c>
      <c r="F29" s="36">
        <f>F27</f>
        <v>5000</v>
      </c>
    </row>
  </sheetData>
  <mergeCells count="6">
    <mergeCell ref="B24:F24"/>
    <mergeCell ref="A1:G1"/>
    <mergeCell ref="B11:F11"/>
    <mergeCell ref="B26:C26"/>
    <mergeCell ref="E26:F26"/>
    <mergeCell ref="B8:G8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84" orientation="portrait" horizontalDpi="0" verticalDpi="0" copies="15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E4A2-5741-DE43-81A5-8892B72CD1AC}">
  <sheetPr>
    <pageSetUpPr fitToPage="1"/>
  </sheetPr>
  <dimension ref="A1:G47"/>
  <sheetViews>
    <sheetView zoomScale="120" zoomScaleNormal="120" workbookViewId="0">
      <selection sqref="A1:G1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37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20</v>
      </c>
      <c r="B1" s="124"/>
      <c r="C1" s="124"/>
      <c r="D1" s="124"/>
      <c r="E1" s="124"/>
      <c r="F1" s="124"/>
      <c r="G1" s="124"/>
    </row>
    <row r="4" spans="1:7" x14ac:dyDescent="0.25">
      <c r="B4" s="20" t="s">
        <v>22</v>
      </c>
      <c r="C4" s="46">
        <v>2500</v>
      </c>
      <c r="F4" s="4"/>
    </row>
    <row r="5" spans="1:7" x14ac:dyDescent="0.25">
      <c r="B5" s="20" t="s">
        <v>78</v>
      </c>
      <c r="C5" s="47">
        <v>500</v>
      </c>
    </row>
    <row r="6" spans="1:7" x14ac:dyDescent="0.25">
      <c r="B6" s="12" t="s">
        <v>79</v>
      </c>
      <c r="C6" s="48">
        <v>10</v>
      </c>
      <c r="D6" s="1" t="s">
        <v>80</v>
      </c>
    </row>
    <row r="7" spans="1:7" x14ac:dyDescent="0.25">
      <c r="B7" s="12" t="s">
        <v>83</v>
      </c>
      <c r="C7" s="49"/>
    </row>
    <row r="8" spans="1:7" x14ac:dyDescent="0.25">
      <c r="B8" s="2" t="s">
        <v>45</v>
      </c>
      <c r="C8" s="50">
        <v>1.5</v>
      </c>
      <c r="D8" s="1" t="s">
        <v>46</v>
      </c>
    </row>
    <row r="9" spans="1:7" x14ac:dyDescent="0.25">
      <c r="B9" s="15" t="s">
        <v>43</v>
      </c>
      <c r="C9" s="50">
        <v>0.5</v>
      </c>
      <c r="D9" s="11"/>
      <c r="E9" s="11"/>
      <c r="F9" s="11"/>
    </row>
    <row r="10" spans="1:7" x14ac:dyDescent="0.25">
      <c r="B10" s="15"/>
      <c r="C10" s="16"/>
      <c r="D10" s="11"/>
      <c r="E10" s="11"/>
      <c r="F10" s="11"/>
    </row>
    <row r="11" spans="1:7" x14ac:dyDescent="0.25">
      <c r="B11" s="15"/>
      <c r="C11" s="16"/>
      <c r="D11" s="11"/>
      <c r="E11" s="11"/>
      <c r="F11" s="11"/>
    </row>
    <row r="12" spans="1:7" x14ac:dyDescent="0.25">
      <c r="B12" s="126" t="s">
        <v>23</v>
      </c>
      <c r="C12" s="126"/>
    </row>
    <row r="13" spans="1:7" ht="6" customHeight="1" x14ac:dyDescent="0.25"/>
    <row r="14" spans="1:7" x14ac:dyDescent="0.25">
      <c r="B14" s="17" t="s">
        <v>25</v>
      </c>
      <c r="C14" s="41"/>
    </row>
    <row r="15" spans="1:7" x14ac:dyDescent="0.25">
      <c r="B15" s="10" t="s">
        <v>26</v>
      </c>
      <c r="C15" s="42"/>
    </row>
    <row r="16" spans="1:7" x14ac:dyDescent="0.25">
      <c r="B16" s="32" t="s">
        <v>0</v>
      </c>
      <c r="C16" s="43"/>
    </row>
    <row r="19" spans="2:6" x14ac:dyDescent="0.25">
      <c r="B19" s="3"/>
      <c r="C19" s="5"/>
    </row>
    <row r="20" spans="2:6" x14ac:dyDescent="0.25">
      <c r="B20" s="126" t="s">
        <v>24</v>
      </c>
      <c r="C20" s="126"/>
      <c r="D20" s="11"/>
      <c r="E20" s="126" t="s">
        <v>5</v>
      </c>
      <c r="F20" s="126"/>
    </row>
    <row r="21" spans="2:6" ht="6" customHeight="1" x14ac:dyDescent="0.25"/>
    <row r="22" spans="2:6" x14ac:dyDescent="0.25">
      <c r="B22" s="17" t="s">
        <v>27</v>
      </c>
      <c r="C22" s="38"/>
      <c r="E22" s="7" t="s">
        <v>6</v>
      </c>
      <c r="F22" s="36"/>
    </row>
    <row r="23" spans="2:6" ht="6" customHeight="1" x14ac:dyDescent="0.25">
      <c r="B23" s="6"/>
      <c r="C23" s="40"/>
      <c r="F23" s="37"/>
    </row>
    <row r="24" spans="2:6" x14ac:dyDescent="0.25">
      <c r="B24" s="18" t="s">
        <v>48</v>
      </c>
      <c r="C24" s="40"/>
      <c r="E24" s="8" t="s">
        <v>7</v>
      </c>
      <c r="F24" s="38"/>
    </row>
    <row r="25" spans="2:6" x14ac:dyDescent="0.25">
      <c r="B25" s="18" t="s">
        <v>28</v>
      </c>
      <c r="C25" s="40"/>
      <c r="E25" s="10" t="s">
        <v>30</v>
      </c>
      <c r="F25" s="39"/>
    </row>
    <row r="26" spans="2:6" ht="6" customHeight="1" x14ac:dyDescent="0.25">
      <c r="B26" s="6"/>
      <c r="C26" s="40"/>
      <c r="F26" s="37"/>
    </row>
    <row r="27" spans="2:6" x14ac:dyDescent="0.25">
      <c r="B27" s="7" t="s">
        <v>29</v>
      </c>
      <c r="C27" s="36"/>
      <c r="E27" s="8" t="s">
        <v>9</v>
      </c>
      <c r="F27" s="38"/>
    </row>
    <row r="28" spans="2:6" x14ac:dyDescent="0.25">
      <c r="E28" s="6" t="s">
        <v>31</v>
      </c>
      <c r="F28" s="40"/>
    </row>
    <row r="29" spans="2:6" x14ac:dyDescent="0.25">
      <c r="E29" s="10" t="s">
        <v>32</v>
      </c>
      <c r="F29" s="39"/>
    </row>
    <row r="30" spans="2:6" ht="6" customHeight="1" x14ac:dyDescent="0.25">
      <c r="F30" s="37"/>
    </row>
    <row r="31" spans="2:6" x14ac:dyDescent="0.25">
      <c r="E31" s="7" t="s">
        <v>11</v>
      </c>
      <c r="F31" s="36"/>
    </row>
    <row r="32" spans="2:6" x14ac:dyDescent="0.25">
      <c r="E32" s="3"/>
      <c r="F32" s="28"/>
    </row>
    <row r="33" spans="2:6" x14ac:dyDescent="0.25">
      <c r="B33" s="3"/>
      <c r="C33" s="5"/>
    </row>
    <row r="34" spans="2:6" x14ac:dyDescent="0.25">
      <c r="B34" s="3"/>
      <c r="C34" s="5"/>
    </row>
    <row r="35" spans="2:6" x14ac:dyDescent="0.25">
      <c r="B35" s="126" t="s">
        <v>12</v>
      </c>
      <c r="C35" s="126"/>
      <c r="D35" s="126"/>
      <c r="E35" s="126"/>
      <c r="F35" s="126"/>
    </row>
    <row r="36" spans="2:6" ht="6" customHeight="1" x14ac:dyDescent="0.25"/>
    <row r="37" spans="2:6" x14ac:dyDescent="0.25">
      <c r="B37" s="127" t="s">
        <v>13</v>
      </c>
      <c r="C37" s="128"/>
      <c r="D37" s="3"/>
      <c r="E37" s="127" t="s">
        <v>17</v>
      </c>
      <c r="F37" s="128"/>
    </row>
    <row r="38" spans="2:6" x14ac:dyDescent="0.25">
      <c r="B38" s="6" t="s">
        <v>14</v>
      </c>
      <c r="C38" s="40"/>
      <c r="E38" s="44" t="s">
        <v>18</v>
      </c>
      <c r="F38" s="40"/>
    </row>
    <row r="39" spans="2:6" x14ac:dyDescent="0.25">
      <c r="B39" s="6" t="s">
        <v>15</v>
      </c>
      <c r="C39" s="40"/>
      <c r="E39" s="44" t="s">
        <v>33</v>
      </c>
      <c r="F39" s="40"/>
    </row>
    <row r="40" spans="2:6" x14ac:dyDescent="0.25">
      <c r="B40" s="7" t="s">
        <v>16</v>
      </c>
      <c r="C40" s="36"/>
      <c r="D40" s="3"/>
      <c r="E40" s="45" t="s">
        <v>19</v>
      </c>
      <c r="F40" s="36"/>
    </row>
    <row r="41" spans="2:6" x14ac:dyDescent="0.25">
      <c r="B41" s="3"/>
      <c r="C41" s="5"/>
      <c r="D41" s="3"/>
      <c r="E41" s="3"/>
      <c r="F41" s="5"/>
    </row>
    <row r="43" spans="2:6" x14ac:dyDescent="0.25">
      <c r="B43" s="129" t="s">
        <v>34</v>
      </c>
      <c r="C43" s="129"/>
      <c r="D43" s="129"/>
      <c r="E43" s="129"/>
      <c r="F43" s="129"/>
    </row>
    <row r="44" spans="2:6" ht="6" customHeight="1" x14ac:dyDescent="0.25"/>
    <row r="45" spans="2:6" x14ac:dyDescent="0.25">
      <c r="B45" s="125" t="s">
        <v>35</v>
      </c>
      <c r="C45" s="125"/>
      <c r="D45" s="125"/>
      <c r="E45" s="125"/>
      <c r="F45" s="125"/>
    </row>
    <row r="46" spans="2:6" x14ac:dyDescent="0.25">
      <c r="B46" s="125"/>
      <c r="C46" s="125"/>
      <c r="D46" s="125"/>
      <c r="E46" s="125"/>
      <c r="F46" s="125"/>
    </row>
    <row r="47" spans="2:6" x14ac:dyDescent="0.25">
      <c r="B47" s="19" t="s">
        <v>36</v>
      </c>
      <c r="C47" s="13"/>
    </row>
  </sheetData>
  <mergeCells count="9">
    <mergeCell ref="B43:F43"/>
    <mergeCell ref="B45:F46"/>
    <mergeCell ref="A1:G1"/>
    <mergeCell ref="B12:C12"/>
    <mergeCell ref="B20:C20"/>
    <mergeCell ref="E20:F20"/>
    <mergeCell ref="B35:F35"/>
    <mergeCell ref="B37:C37"/>
    <mergeCell ref="E37:F37"/>
  </mergeCells>
  <printOptions horizontalCentered="1"/>
  <pageMargins left="0.70000000000000007" right="0.70000000000000007" top="0.75000000000000011" bottom="0.75000000000000011" header="0.30000000000000004" footer="0.30000000000000004"/>
  <pageSetup paperSize="9" scale="82" orientation="portrait" horizontalDpi="0" verticalDpi="0"/>
  <rowBreaks count="1" manualBreakCount="1">
    <brk id="45" max="16383" man="1"/>
  </rowBreaks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7"/>
  <sheetViews>
    <sheetView topLeftCell="A3" zoomScale="120" zoomScaleNormal="120" workbookViewId="0">
      <selection activeCell="C42" sqref="C42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37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20</v>
      </c>
      <c r="B1" s="124"/>
      <c r="C1" s="124"/>
      <c r="D1" s="124"/>
      <c r="E1" s="124"/>
      <c r="F1" s="124"/>
      <c r="G1" s="124"/>
    </row>
    <row r="4" spans="1:7" x14ac:dyDescent="0.25">
      <c r="B4" s="20" t="s">
        <v>22</v>
      </c>
      <c r="C4" s="46">
        <v>2500</v>
      </c>
      <c r="F4" s="4"/>
    </row>
    <row r="5" spans="1:7" x14ac:dyDescent="0.25">
      <c r="B5" s="20" t="s">
        <v>78</v>
      </c>
      <c r="C5" s="47">
        <v>500</v>
      </c>
    </row>
    <row r="6" spans="1:7" x14ac:dyDescent="0.25">
      <c r="B6" s="12" t="s">
        <v>79</v>
      </c>
      <c r="C6" s="48">
        <v>10</v>
      </c>
      <c r="D6" s="1" t="s">
        <v>80</v>
      </c>
    </row>
    <row r="7" spans="1:7" x14ac:dyDescent="0.25">
      <c r="B7" s="12" t="s">
        <v>83</v>
      </c>
      <c r="C7" s="49"/>
    </row>
    <row r="8" spans="1:7" x14ac:dyDescent="0.25">
      <c r="B8" s="2" t="s">
        <v>45</v>
      </c>
      <c r="C8" s="50">
        <v>1.5</v>
      </c>
      <c r="D8" s="1" t="s">
        <v>46</v>
      </c>
    </row>
    <row r="9" spans="1:7" x14ac:dyDescent="0.25">
      <c r="B9" s="15" t="s">
        <v>43</v>
      </c>
      <c r="C9" s="50">
        <v>0.5</v>
      </c>
      <c r="D9" s="11"/>
      <c r="E9" s="11"/>
      <c r="F9" s="11"/>
    </row>
    <row r="10" spans="1:7" x14ac:dyDescent="0.25">
      <c r="B10" s="15"/>
      <c r="C10" s="16"/>
      <c r="D10" s="11"/>
      <c r="E10" s="11"/>
      <c r="F10" s="11"/>
    </row>
    <row r="11" spans="1:7" x14ac:dyDescent="0.25">
      <c r="B11" s="15"/>
      <c r="C11" s="16"/>
      <c r="D11" s="11"/>
      <c r="E11" s="11"/>
      <c r="F11" s="11"/>
    </row>
    <row r="12" spans="1:7" x14ac:dyDescent="0.25">
      <c r="B12" s="126" t="s">
        <v>23</v>
      </c>
      <c r="C12" s="126"/>
    </row>
    <row r="13" spans="1:7" ht="6" customHeight="1" x14ac:dyDescent="0.25"/>
    <row r="14" spans="1:7" x14ac:dyDescent="0.25">
      <c r="B14" s="17" t="s">
        <v>25</v>
      </c>
      <c r="C14" s="41">
        <f>C8</f>
        <v>1.5</v>
      </c>
    </row>
    <row r="15" spans="1:7" x14ac:dyDescent="0.25">
      <c r="B15" s="10" t="s">
        <v>26</v>
      </c>
      <c r="C15" s="42">
        <f>C9</f>
        <v>0.5</v>
      </c>
    </row>
    <row r="16" spans="1:7" x14ac:dyDescent="0.25">
      <c r="B16" s="32" t="s">
        <v>0</v>
      </c>
      <c r="C16" s="43">
        <f>SUM(C14:C15)</f>
        <v>2</v>
      </c>
    </row>
    <row r="19" spans="2:6" x14ac:dyDescent="0.25">
      <c r="B19" s="3"/>
      <c r="C19" s="5"/>
    </row>
    <row r="20" spans="2:6" x14ac:dyDescent="0.25">
      <c r="B20" s="126" t="s">
        <v>24</v>
      </c>
      <c r="C20" s="126"/>
      <c r="D20" s="11"/>
      <c r="E20" s="126" t="s">
        <v>5</v>
      </c>
      <c r="F20" s="126"/>
    </row>
    <row r="21" spans="2:6" ht="6" customHeight="1" x14ac:dyDescent="0.25"/>
    <row r="22" spans="2:6" x14ac:dyDescent="0.25">
      <c r="B22" s="17" t="s">
        <v>27</v>
      </c>
      <c r="C22" s="38">
        <f>C5*C6</f>
        <v>5000</v>
      </c>
      <c r="E22" s="7" t="s">
        <v>6</v>
      </c>
      <c r="F22" s="36">
        <f>'Start-up'!C28</f>
        <v>4250</v>
      </c>
    </row>
    <row r="23" spans="2:6" ht="6" customHeight="1" x14ac:dyDescent="0.25">
      <c r="B23" s="6"/>
      <c r="C23" s="40"/>
      <c r="F23" s="37"/>
    </row>
    <row r="24" spans="2:6" x14ac:dyDescent="0.25">
      <c r="B24" s="18" t="s">
        <v>48</v>
      </c>
      <c r="C24" s="40">
        <f>-C16*C5</f>
        <v>-1000</v>
      </c>
      <c r="E24" s="8" t="s">
        <v>7</v>
      </c>
      <c r="F24" s="38"/>
    </row>
    <row r="25" spans="2:6" x14ac:dyDescent="0.25">
      <c r="B25" s="18" t="s">
        <v>28</v>
      </c>
      <c r="C25" s="40">
        <f>-C4</f>
        <v>-2500</v>
      </c>
      <c r="E25" s="10" t="s">
        <v>30</v>
      </c>
      <c r="F25" s="39">
        <f>C22</f>
        <v>5000</v>
      </c>
    </row>
    <row r="26" spans="2:6" ht="6" customHeight="1" x14ac:dyDescent="0.25">
      <c r="B26" s="6"/>
      <c r="C26" s="40"/>
      <c r="F26" s="37"/>
    </row>
    <row r="27" spans="2:6" x14ac:dyDescent="0.25">
      <c r="B27" s="7" t="s">
        <v>29</v>
      </c>
      <c r="C27" s="36">
        <f>SUM(C22:C25)</f>
        <v>1500</v>
      </c>
      <c r="E27" s="8" t="s">
        <v>9</v>
      </c>
      <c r="F27" s="38"/>
    </row>
    <row r="28" spans="2:6" x14ac:dyDescent="0.25">
      <c r="E28" s="6" t="s">
        <v>31</v>
      </c>
      <c r="F28" s="40">
        <f>-C9*C5</f>
        <v>-250</v>
      </c>
    </row>
    <row r="29" spans="2:6" x14ac:dyDescent="0.25">
      <c r="E29" s="10" t="s">
        <v>32</v>
      </c>
      <c r="F29" s="39">
        <f>-C4</f>
        <v>-2500</v>
      </c>
    </row>
    <row r="30" spans="2:6" ht="6" customHeight="1" x14ac:dyDescent="0.25">
      <c r="F30" s="37"/>
    </row>
    <row r="31" spans="2:6" x14ac:dyDescent="0.25">
      <c r="E31" s="7" t="s">
        <v>11</v>
      </c>
      <c r="F31" s="36">
        <f>F22+SUM(F24:F25)+SUM(F27:F29)</f>
        <v>6500</v>
      </c>
    </row>
    <row r="32" spans="2:6" x14ac:dyDescent="0.25">
      <c r="E32" s="3"/>
      <c r="F32" s="28"/>
    </row>
    <row r="33" spans="2:6" x14ac:dyDescent="0.25">
      <c r="B33" s="3"/>
      <c r="C33" s="5"/>
    </row>
    <row r="34" spans="2:6" x14ac:dyDescent="0.25">
      <c r="B34" s="3"/>
      <c r="C34" s="5"/>
    </row>
    <row r="35" spans="2:6" x14ac:dyDescent="0.25">
      <c r="B35" s="126" t="s">
        <v>12</v>
      </c>
      <c r="C35" s="126"/>
      <c r="D35" s="126"/>
      <c r="E35" s="126"/>
      <c r="F35" s="126"/>
    </row>
    <row r="36" spans="2:6" ht="6" customHeight="1" x14ac:dyDescent="0.25"/>
    <row r="37" spans="2:6" x14ac:dyDescent="0.25">
      <c r="B37" s="127" t="s">
        <v>13</v>
      </c>
      <c r="C37" s="128"/>
      <c r="D37" s="3"/>
      <c r="E37" s="127" t="s">
        <v>17</v>
      </c>
      <c r="F37" s="128"/>
    </row>
    <row r="38" spans="2:6" x14ac:dyDescent="0.25">
      <c r="B38" s="6" t="s">
        <v>14</v>
      </c>
      <c r="C38" s="40">
        <f>'Start-up'!C27-January!C14*January!C5</f>
        <v>0</v>
      </c>
      <c r="E38" s="44" t="s">
        <v>18</v>
      </c>
      <c r="F38" s="40">
        <f>'Start-up'!F27</f>
        <v>5000</v>
      </c>
    </row>
    <row r="39" spans="2:6" x14ac:dyDescent="0.25">
      <c r="B39" s="6" t="s">
        <v>15</v>
      </c>
      <c r="C39" s="40">
        <f>F31</f>
        <v>6500</v>
      </c>
      <c r="E39" s="44" t="s">
        <v>33</v>
      </c>
      <c r="F39" s="40">
        <f>C27</f>
        <v>1500</v>
      </c>
    </row>
    <row r="40" spans="2:6" x14ac:dyDescent="0.25">
      <c r="B40" s="7" t="s">
        <v>16</v>
      </c>
      <c r="C40" s="36">
        <f>SUM(C38:C39)</f>
        <v>6500</v>
      </c>
      <c r="D40" s="3"/>
      <c r="E40" s="45" t="s">
        <v>19</v>
      </c>
      <c r="F40" s="36">
        <f>SUM(F38:F39)</f>
        <v>6500</v>
      </c>
    </row>
    <row r="41" spans="2:6" x14ac:dyDescent="0.25">
      <c r="B41" s="3"/>
      <c r="C41" s="5"/>
      <c r="D41" s="3"/>
      <c r="E41" s="3"/>
      <c r="F41" s="5"/>
    </row>
    <row r="43" spans="2:6" x14ac:dyDescent="0.25">
      <c r="B43" s="129" t="s">
        <v>34</v>
      </c>
      <c r="C43" s="129"/>
      <c r="D43" s="129"/>
      <c r="E43" s="129"/>
      <c r="F43" s="129"/>
    </row>
    <row r="44" spans="2:6" ht="6" customHeight="1" x14ac:dyDescent="0.25"/>
    <row r="45" spans="2:6" x14ac:dyDescent="0.25">
      <c r="B45" s="125" t="s">
        <v>35</v>
      </c>
      <c r="C45" s="125"/>
      <c r="D45" s="125"/>
      <c r="E45" s="125"/>
      <c r="F45" s="125"/>
    </row>
    <row r="46" spans="2:6" x14ac:dyDescent="0.25">
      <c r="B46" s="125"/>
      <c r="C46" s="125"/>
      <c r="D46" s="125"/>
      <c r="E46" s="125"/>
      <c r="F46" s="125"/>
    </row>
    <row r="47" spans="2:6" x14ac:dyDescent="0.25">
      <c r="B47" s="19" t="s">
        <v>36</v>
      </c>
      <c r="C47" s="13">
        <f>-C25/(C6-C16)</f>
        <v>312.5</v>
      </c>
    </row>
  </sheetData>
  <mergeCells count="9">
    <mergeCell ref="B45:F46"/>
    <mergeCell ref="B43:F43"/>
    <mergeCell ref="A1:G1"/>
    <mergeCell ref="B35:F35"/>
    <mergeCell ref="B37:C37"/>
    <mergeCell ref="E37:F37"/>
    <mergeCell ref="B12:C12"/>
    <mergeCell ref="B20:C20"/>
    <mergeCell ref="E20:F20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82" orientation="portrait" horizontalDpi="0" verticalDpi="0"/>
  <rowBreaks count="1" manualBreakCount="1">
    <brk id="45" max="16383" man="1"/>
  </rowBreaks>
  <colBreaks count="1" manualBreakCount="1"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C2A4-EA48-9E4A-8271-BE5A4D2682BF}">
  <sheetPr>
    <pageSetUpPr fitToPage="1"/>
  </sheetPr>
  <dimension ref="A1:G47"/>
  <sheetViews>
    <sheetView zoomScale="125" zoomScaleNormal="120" workbookViewId="0">
      <selection activeCell="C18" sqref="C18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37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37</v>
      </c>
      <c r="B1" s="124"/>
      <c r="C1" s="124"/>
      <c r="D1" s="124"/>
      <c r="E1" s="124"/>
      <c r="F1" s="124"/>
      <c r="G1" s="124"/>
    </row>
    <row r="4" spans="1:7" x14ac:dyDescent="0.25">
      <c r="B4" s="1" t="s">
        <v>22</v>
      </c>
      <c r="C4" s="46">
        <v>2500</v>
      </c>
      <c r="F4" s="4"/>
    </row>
    <row r="5" spans="1:7" x14ac:dyDescent="0.25">
      <c r="B5" s="1" t="s">
        <v>38</v>
      </c>
      <c r="C5" s="28"/>
      <c r="F5" s="4"/>
    </row>
    <row r="6" spans="1:7" x14ac:dyDescent="0.25">
      <c r="B6" s="15" t="s">
        <v>39</v>
      </c>
      <c r="C6" s="46">
        <v>5000</v>
      </c>
      <c r="F6" s="4"/>
    </row>
    <row r="7" spans="1:7" x14ac:dyDescent="0.25">
      <c r="B7" s="1" t="s">
        <v>78</v>
      </c>
      <c r="C7" s="31">
        <v>1000</v>
      </c>
      <c r="D7" s="1" t="s">
        <v>81</v>
      </c>
    </row>
    <row r="8" spans="1:7" x14ac:dyDescent="0.25">
      <c r="B8" s="1" t="s">
        <v>40</v>
      </c>
      <c r="C8" s="31">
        <v>2000</v>
      </c>
      <c r="D8" s="1" t="s">
        <v>59</v>
      </c>
    </row>
    <row r="9" spans="1:7" x14ac:dyDescent="0.25">
      <c r="B9" s="12" t="s">
        <v>79</v>
      </c>
      <c r="C9" s="48">
        <v>10</v>
      </c>
      <c r="D9" s="1" t="s">
        <v>82</v>
      </c>
    </row>
    <row r="10" spans="1:7" x14ac:dyDescent="0.25">
      <c r="B10" s="12" t="s">
        <v>83</v>
      </c>
      <c r="C10" s="14"/>
    </row>
    <row r="11" spans="1:7" x14ac:dyDescent="0.25">
      <c r="B11" s="15" t="s">
        <v>45</v>
      </c>
      <c r="C11" s="50">
        <v>1.5</v>
      </c>
      <c r="D11" s="20" t="s">
        <v>44</v>
      </c>
      <c r="E11" s="11"/>
      <c r="F11" s="11"/>
    </row>
    <row r="12" spans="1:7" x14ac:dyDescent="0.25">
      <c r="B12" s="15" t="s">
        <v>41</v>
      </c>
      <c r="C12" s="50">
        <v>0.5</v>
      </c>
      <c r="D12" s="11"/>
      <c r="E12" s="11"/>
      <c r="F12" s="11"/>
    </row>
    <row r="13" spans="1:7" x14ac:dyDescent="0.25">
      <c r="B13" s="15" t="s">
        <v>42</v>
      </c>
      <c r="C13" s="46">
        <v>1000</v>
      </c>
      <c r="D13" s="11"/>
      <c r="E13" s="11"/>
      <c r="F13" s="11"/>
    </row>
    <row r="14" spans="1:7" x14ac:dyDescent="0.25">
      <c r="B14" s="15"/>
      <c r="C14" s="5"/>
      <c r="D14" s="11"/>
      <c r="E14" s="11"/>
      <c r="F14" s="11"/>
    </row>
    <row r="15" spans="1:7" x14ac:dyDescent="0.25">
      <c r="B15" s="15"/>
      <c r="C15" s="16"/>
      <c r="D15" s="11"/>
      <c r="E15" s="11"/>
      <c r="F15" s="11"/>
    </row>
    <row r="16" spans="1:7" x14ac:dyDescent="0.25">
      <c r="B16" s="126" t="s">
        <v>23</v>
      </c>
      <c r="C16" s="126"/>
    </row>
    <row r="17" spans="2:6" ht="6" customHeight="1" x14ac:dyDescent="0.25"/>
    <row r="18" spans="2:6" x14ac:dyDescent="0.25">
      <c r="B18" s="17" t="s">
        <v>25</v>
      </c>
      <c r="C18" s="41"/>
    </row>
    <row r="19" spans="2:6" x14ac:dyDescent="0.25">
      <c r="B19" s="10" t="s">
        <v>26</v>
      </c>
      <c r="C19" s="42"/>
    </row>
    <row r="20" spans="2:6" x14ac:dyDescent="0.25">
      <c r="B20" s="7" t="s">
        <v>0</v>
      </c>
      <c r="C20" s="43"/>
    </row>
    <row r="22" spans="2:6" x14ac:dyDescent="0.25">
      <c r="B22" s="3"/>
      <c r="C22" s="5"/>
    </row>
    <row r="23" spans="2:6" x14ac:dyDescent="0.25">
      <c r="B23" s="3"/>
      <c r="C23" s="5"/>
    </row>
    <row r="24" spans="2:6" x14ac:dyDescent="0.25">
      <c r="B24" s="130" t="s">
        <v>24</v>
      </c>
      <c r="C24" s="130"/>
      <c r="D24" s="11"/>
      <c r="E24" s="126" t="s">
        <v>5</v>
      </c>
      <c r="F24" s="126"/>
    </row>
    <row r="25" spans="2:6" ht="6" customHeight="1" x14ac:dyDescent="0.25">
      <c r="D25" s="11"/>
    </row>
    <row r="26" spans="2:6" x14ac:dyDescent="0.25">
      <c r="B26" s="17" t="s">
        <v>27</v>
      </c>
      <c r="C26" s="38"/>
      <c r="D26" s="11"/>
      <c r="E26" s="7" t="s">
        <v>6</v>
      </c>
      <c r="F26" s="36"/>
    </row>
    <row r="27" spans="2:6" ht="6" customHeight="1" x14ac:dyDescent="0.25">
      <c r="B27" s="6"/>
      <c r="C27" s="40"/>
    </row>
    <row r="28" spans="2:6" x14ac:dyDescent="0.25">
      <c r="B28" s="18" t="s">
        <v>48</v>
      </c>
      <c r="C28" s="40"/>
      <c r="E28" s="8" t="s">
        <v>7</v>
      </c>
      <c r="F28" s="9"/>
    </row>
    <row r="29" spans="2:6" x14ac:dyDescent="0.25">
      <c r="B29" s="18" t="s">
        <v>47</v>
      </c>
      <c r="C29" s="40"/>
      <c r="E29" s="10" t="s">
        <v>30</v>
      </c>
      <c r="F29" s="39"/>
    </row>
    <row r="30" spans="2:6" ht="6" customHeight="1" x14ac:dyDescent="0.25">
      <c r="B30" s="6"/>
      <c r="C30" s="40"/>
    </row>
    <row r="31" spans="2:6" x14ac:dyDescent="0.25">
      <c r="B31" s="18" t="s">
        <v>28</v>
      </c>
      <c r="C31" s="40"/>
      <c r="E31" s="8" t="s">
        <v>9</v>
      </c>
      <c r="F31" s="9"/>
    </row>
    <row r="32" spans="2:6" x14ac:dyDescent="0.25">
      <c r="B32" s="7" t="s">
        <v>29</v>
      </c>
      <c r="C32" s="36"/>
      <c r="E32" s="6" t="s">
        <v>10</v>
      </c>
      <c r="F32" s="40"/>
    </row>
    <row r="33" spans="2:6" x14ac:dyDescent="0.25">
      <c r="E33" s="6" t="s">
        <v>31</v>
      </c>
      <c r="F33" s="40"/>
    </row>
    <row r="34" spans="2:6" x14ac:dyDescent="0.25">
      <c r="E34" s="6" t="s">
        <v>49</v>
      </c>
      <c r="F34" s="40"/>
    </row>
    <row r="35" spans="2:6" x14ac:dyDescent="0.25">
      <c r="E35" s="10" t="s">
        <v>32</v>
      </c>
      <c r="F35" s="39"/>
    </row>
    <row r="36" spans="2:6" ht="6" customHeight="1" x14ac:dyDescent="0.25">
      <c r="F36" s="29"/>
    </row>
    <row r="37" spans="2:6" x14ac:dyDescent="0.25">
      <c r="E37" s="7" t="s">
        <v>11</v>
      </c>
      <c r="F37" s="36"/>
    </row>
    <row r="38" spans="2:6" x14ac:dyDescent="0.25">
      <c r="E38" s="3"/>
      <c r="F38" s="28"/>
    </row>
    <row r="39" spans="2:6" x14ac:dyDescent="0.25">
      <c r="B39" s="3"/>
      <c r="C39" s="5"/>
    </row>
    <row r="40" spans="2:6" x14ac:dyDescent="0.25">
      <c r="B40" s="3"/>
      <c r="C40" s="5"/>
    </row>
    <row r="41" spans="2:6" x14ac:dyDescent="0.25">
      <c r="B41" s="126" t="s">
        <v>12</v>
      </c>
      <c r="C41" s="126"/>
      <c r="D41" s="126"/>
      <c r="E41" s="126"/>
      <c r="F41" s="126"/>
    </row>
    <row r="42" spans="2:6" ht="6" customHeight="1" x14ac:dyDescent="0.25"/>
    <row r="43" spans="2:6" x14ac:dyDescent="0.25">
      <c r="B43" s="127" t="s">
        <v>13</v>
      </c>
      <c r="C43" s="128"/>
      <c r="D43" s="3"/>
      <c r="E43" s="127" t="s">
        <v>17</v>
      </c>
      <c r="F43" s="128"/>
    </row>
    <row r="44" spans="2:6" x14ac:dyDescent="0.25">
      <c r="B44" s="17" t="s">
        <v>14</v>
      </c>
      <c r="C44" s="38"/>
      <c r="E44" s="44" t="s">
        <v>18</v>
      </c>
      <c r="F44" s="38"/>
    </row>
    <row r="45" spans="2:6" x14ac:dyDescent="0.25">
      <c r="B45" s="6" t="s">
        <v>50</v>
      </c>
      <c r="C45" s="40"/>
      <c r="E45" s="44" t="s">
        <v>33</v>
      </c>
      <c r="F45" s="40"/>
    </row>
    <row r="46" spans="2:6" x14ac:dyDescent="0.25">
      <c r="B46" s="10" t="s">
        <v>15</v>
      </c>
      <c r="C46" s="39"/>
      <c r="E46" s="44" t="s">
        <v>51</v>
      </c>
      <c r="F46" s="39"/>
    </row>
    <row r="47" spans="2:6" x14ac:dyDescent="0.25">
      <c r="B47" s="32" t="s">
        <v>16</v>
      </c>
      <c r="C47" s="52"/>
      <c r="D47" s="3"/>
      <c r="E47" s="45" t="s">
        <v>19</v>
      </c>
      <c r="F47" s="36"/>
    </row>
  </sheetData>
  <mergeCells count="7">
    <mergeCell ref="B43:C43"/>
    <mergeCell ref="E43:F43"/>
    <mergeCell ref="A1:G1"/>
    <mergeCell ref="B16:C16"/>
    <mergeCell ref="B24:C24"/>
    <mergeCell ref="E24:F24"/>
    <mergeCell ref="B41:F41"/>
  </mergeCells>
  <printOptions horizontalCentered="1"/>
  <pageMargins left="0.70000000000000007" right="0.70000000000000007" top="0.75000000000000011" bottom="0.75000000000000011" header="0.30000000000000004" footer="0.30000000000000004"/>
  <pageSetup paperSize="9" scale="82" orientation="portrait" horizontalDpi="0" verticalDpi="0"/>
  <rowBreaks count="1" manualBreakCount="1">
    <brk id="47" max="16383" man="1"/>
  </rowBreaks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7"/>
  <sheetViews>
    <sheetView topLeftCell="A11" zoomScale="125" zoomScaleNormal="120" workbookViewId="0">
      <selection activeCell="C20" sqref="C20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37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37</v>
      </c>
      <c r="B1" s="124"/>
      <c r="C1" s="124"/>
      <c r="D1" s="124"/>
      <c r="E1" s="124"/>
      <c r="F1" s="124"/>
      <c r="G1" s="124"/>
    </row>
    <row r="4" spans="1:7" x14ac:dyDescent="0.25">
      <c r="B4" s="1" t="s">
        <v>22</v>
      </c>
      <c r="C4" s="46">
        <v>2500</v>
      </c>
      <c r="F4" s="4"/>
    </row>
    <row r="5" spans="1:7" x14ac:dyDescent="0.25">
      <c r="B5" s="1" t="s">
        <v>38</v>
      </c>
      <c r="C5" s="28"/>
      <c r="F5" s="4"/>
    </row>
    <row r="6" spans="1:7" x14ac:dyDescent="0.25">
      <c r="B6" s="15" t="s">
        <v>39</v>
      </c>
      <c r="C6" s="46">
        <v>5000</v>
      </c>
      <c r="F6" s="4"/>
    </row>
    <row r="7" spans="1:7" x14ac:dyDescent="0.25">
      <c r="B7" s="1" t="s">
        <v>78</v>
      </c>
      <c r="C7" s="31">
        <v>1000</v>
      </c>
      <c r="D7" s="1" t="s">
        <v>81</v>
      </c>
    </row>
    <row r="8" spans="1:7" x14ac:dyDescent="0.25">
      <c r="B8" s="1" t="s">
        <v>40</v>
      </c>
      <c r="C8" s="31">
        <v>2000</v>
      </c>
      <c r="D8" s="1" t="s">
        <v>59</v>
      </c>
    </row>
    <row r="9" spans="1:7" x14ac:dyDescent="0.25">
      <c r="B9" s="12" t="s">
        <v>79</v>
      </c>
      <c r="C9" s="48">
        <v>10</v>
      </c>
      <c r="D9" s="1" t="s">
        <v>82</v>
      </c>
    </row>
    <row r="10" spans="1:7" x14ac:dyDescent="0.25">
      <c r="B10" s="12" t="s">
        <v>83</v>
      </c>
      <c r="C10" s="14"/>
    </row>
    <row r="11" spans="1:7" x14ac:dyDescent="0.25">
      <c r="B11" s="15" t="s">
        <v>45</v>
      </c>
      <c r="C11" s="50">
        <v>1.5</v>
      </c>
      <c r="D11" s="20" t="s">
        <v>44</v>
      </c>
      <c r="E11" s="11"/>
      <c r="F11" s="11"/>
    </row>
    <row r="12" spans="1:7" x14ac:dyDescent="0.25">
      <c r="B12" s="15" t="s">
        <v>41</v>
      </c>
      <c r="C12" s="50">
        <v>0.5</v>
      </c>
      <c r="D12" s="11"/>
      <c r="E12" s="11"/>
      <c r="F12" s="11"/>
    </row>
    <row r="13" spans="1:7" x14ac:dyDescent="0.25">
      <c r="B13" s="15" t="s">
        <v>42</v>
      </c>
      <c r="C13" s="46">
        <v>1000</v>
      </c>
      <c r="D13" s="11"/>
      <c r="E13" s="11"/>
      <c r="F13" s="11"/>
    </row>
    <row r="14" spans="1:7" x14ac:dyDescent="0.25">
      <c r="B14" s="15"/>
      <c r="C14" s="5"/>
      <c r="D14" s="11"/>
      <c r="E14" s="11"/>
      <c r="F14" s="11"/>
    </row>
    <row r="15" spans="1:7" x14ac:dyDescent="0.25">
      <c r="B15" s="15"/>
      <c r="C15" s="16"/>
      <c r="D15" s="11"/>
      <c r="E15" s="11"/>
      <c r="F15" s="11"/>
    </row>
    <row r="16" spans="1:7" x14ac:dyDescent="0.25">
      <c r="B16" s="126" t="s">
        <v>23</v>
      </c>
      <c r="C16" s="126"/>
    </row>
    <row r="17" spans="2:6" ht="6" customHeight="1" x14ac:dyDescent="0.25"/>
    <row r="18" spans="2:6" x14ac:dyDescent="0.25">
      <c r="B18" s="17" t="s">
        <v>25</v>
      </c>
      <c r="C18" s="41">
        <f>C11</f>
        <v>1.5</v>
      </c>
    </row>
    <row r="19" spans="2:6" x14ac:dyDescent="0.25">
      <c r="B19" s="10" t="s">
        <v>26</v>
      </c>
      <c r="C19" s="42">
        <f>C12</f>
        <v>0.5</v>
      </c>
    </row>
    <row r="20" spans="2:6" x14ac:dyDescent="0.25">
      <c r="B20" s="7" t="s">
        <v>0</v>
      </c>
      <c r="C20" s="43">
        <f>SUM(C18:C19)</f>
        <v>2</v>
      </c>
    </row>
    <row r="22" spans="2:6" x14ac:dyDescent="0.25">
      <c r="B22" s="3"/>
      <c r="C22" s="5"/>
    </row>
    <row r="23" spans="2:6" x14ac:dyDescent="0.25">
      <c r="B23" s="3"/>
      <c r="C23" s="5"/>
    </row>
    <row r="24" spans="2:6" x14ac:dyDescent="0.25">
      <c r="B24" s="130" t="s">
        <v>24</v>
      </c>
      <c r="C24" s="130"/>
      <c r="D24" s="11"/>
      <c r="E24" s="126" t="s">
        <v>5</v>
      </c>
      <c r="F24" s="126"/>
    </row>
    <row r="25" spans="2:6" ht="6" customHeight="1" x14ac:dyDescent="0.25">
      <c r="D25" s="11"/>
    </row>
    <row r="26" spans="2:6" x14ac:dyDescent="0.25">
      <c r="B26" s="17" t="s">
        <v>27</v>
      </c>
      <c r="C26" s="38">
        <f>(C7+C8)*C9</f>
        <v>30000</v>
      </c>
      <c r="D26" s="11"/>
      <c r="E26" s="7" t="s">
        <v>6</v>
      </c>
      <c r="F26" s="36">
        <f>January!C39</f>
        <v>6500</v>
      </c>
    </row>
    <row r="27" spans="2:6" ht="6" customHeight="1" x14ac:dyDescent="0.25">
      <c r="B27" s="6"/>
      <c r="C27" s="40"/>
    </row>
    <row r="28" spans="2:6" x14ac:dyDescent="0.25">
      <c r="B28" s="18" t="s">
        <v>48</v>
      </c>
      <c r="C28" s="40">
        <f>-C20*(C7+C8)</f>
        <v>-6000</v>
      </c>
      <c r="E28" s="8" t="s">
        <v>7</v>
      </c>
      <c r="F28" s="9"/>
    </row>
    <row r="29" spans="2:6" x14ac:dyDescent="0.25">
      <c r="B29" s="18" t="s">
        <v>47</v>
      </c>
      <c r="C29" s="40">
        <f>-C13</f>
        <v>-1000</v>
      </c>
      <c r="E29" s="10" t="s">
        <v>30</v>
      </c>
      <c r="F29" s="39">
        <f>C7*C9</f>
        <v>10000</v>
      </c>
    </row>
    <row r="30" spans="2:6" ht="6" customHeight="1" x14ac:dyDescent="0.25">
      <c r="B30" s="6"/>
      <c r="C30" s="40"/>
    </row>
    <row r="31" spans="2:6" x14ac:dyDescent="0.25">
      <c r="B31" s="18" t="s">
        <v>28</v>
      </c>
      <c r="C31" s="40">
        <f>-C4</f>
        <v>-2500</v>
      </c>
      <c r="E31" s="8" t="s">
        <v>9</v>
      </c>
      <c r="F31" s="9"/>
    </row>
    <row r="32" spans="2:6" x14ac:dyDescent="0.25">
      <c r="B32" s="7" t="s">
        <v>29</v>
      </c>
      <c r="C32" s="36">
        <f>SUM(C26:C31)</f>
        <v>20500</v>
      </c>
      <c r="E32" s="6" t="s">
        <v>10</v>
      </c>
      <c r="F32" s="40">
        <f>-C6</f>
        <v>-5000</v>
      </c>
    </row>
    <row r="33" spans="2:6" x14ac:dyDescent="0.25">
      <c r="E33" s="6" t="s">
        <v>31</v>
      </c>
      <c r="F33" s="40">
        <f>-C12*(C7+C8)</f>
        <v>-1500</v>
      </c>
    </row>
    <row r="34" spans="2:6" x14ac:dyDescent="0.25">
      <c r="E34" s="6" t="s">
        <v>49</v>
      </c>
      <c r="F34" s="40">
        <f>-C13</f>
        <v>-1000</v>
      </c>
    </row>
    <row r="35" spans="2:6" x14ac:dyDescent="0.25">
      <c r="E35" s="10" t="s">
        <v>32</v>
      </c>
      <c r="F35" s="39">
        <f>-C4</f>
        <v>-2500</v>
      </c>
    </row>
    <row r="36" spans="2:6" ht="6" customHeight="1" x14ac:dyDescent="0.25">
      <c r="F36" s="29"/>
    </row>
    <row r="37" spans="2:6" x14ac:dyDescent="0.25">
      <c r="E37" s="7" t="s">
        <v>11</v>
      </c>
      <c r="F37" s="36">
        <f>F26+SUM(F28:F29)+SUM(F31:F35)</f>
        <v>6500</v>
      </c>
    </row>
    <row r="38" spans="2:6" x14ac:dyDescent="0.25">
      <c r="E38" s="3"/>
      <c r="F38" s="28"/>
    </row>
    <row r="39" spans="2:6" x14ac:dyDescent="0.25">
      <c r="B39" s="3"/>
      <c r="C39" s="5"/>
    </row>
    <row r="40" spans="2:6" x14ac:dyDescent="0.25">
      <c r="B40" s="3"/>
      <c r="C40" s="5"/>
    </row>
    <row r="41" spans="2:6" x14ac:dyDescent="0.25">
      <c r="B41" s="126" t="s">
        <v>12</v>
      </c>
      <c r="C41" s="126"/>
      <c r="D41" s="126"/>
      <c r="E41" s="126"/>
      <c r="F41" s="126"/>
    </row>
    <row r="42" spans="2:6" ht="6" customHeight="1" x14ac:dyDescent="0.25"/>
    <row r="43" spans="2:6" x14ac:dyDescent="0.25">
      <c r="B43" s="127" t="s">
        <v>13</v>
      </c>
      <c r="C43" s="128"/>
      <c r="D43" s="3"/>
      <c r="E43" s="127" t="s">
        <v>17</v>
      </c>
      <c r="F43" s="128"/>
    </row>
    <row r="44" spans="2:6" x14ac:dyDescent="0.25">
      <c r="B44" s="17" t="s">
        <v>14</v>
      </c>
      <c r="C44" s="38">
        <f>January!C38+February!C6-February!C18*(February!C7+February!C8)</f>
        <v>500</v>
      </c>
      <c r="E44" s="44" t="s">
        <v>18</v>
      </c>
      <c r="F44" s="38">
        <f>'Start-up'!F27</f>
        <v>5000</v>
      </c>
    </row>
    <row r="45" spans="2:6" x14ac:dyDescent="0.25">
      <c r="B45" s="6" t="s">
        <v>50</v>
      </c>
      <c r="C45" s="40">
        <f>C8*C9</f>
        <v>20000</v>
      </c>
      <c r="E45" s="44" t="s">
        <v>33</v>
      </c>
      <c r="F45" s="40">
        <f>January!F39</f>
        <v>1500</v>
      </c>
    </row>
    <row r="46" spans="2:6" x14ac:dyDescent="0.25">
      <c r="B46" s="10" t="s">
        <v>15</v>
      </c>
      <c r="C46" s="39">
        <f>F37</f>
        <v>6500</v>
      </c>
      <c r="E46" s="44" t="s">
        <v>51</v>
      </c>
      <c r="F46" s="39">
        <f>C32</f>
        <v>20500</v>
      </c>
    </row>
    <row r="47" spans="2:6" x14ac:dyDescent="0.25">
      <c r="B47" s="32" t="s">
        <v>16</v>
      </c>
      <c r="C47" s="52">
        <f>SUM(C44:C46)</f>
        <v>27000</v>
      </c>
      <c r="D47" s="3"/>
      <c r="E47" s="45" t="s">
        <v>19</v>
      </c>
      <c r="F47" s="36">
        <f>SUM(F44:F46)</f>
        <v>27000</v>
      </c>
    </row>
  </sheetData>
  <mergeCells count="7">
    <mergeCell ref="B43:C43"/>
    <mergeCell ref="E43:F43"/>
    <mergeCell ref="B16:C16"/>
    <mergeCell ref="B24:C24"/>
    <mergeCell ref="A1:G1"/>
    <mergeCell ref="B41:F41"/>
    <mergeCell ref="E24:F24"/>
  </mergeCells>
  <phoneticPr fontId="7" type="noConversion"/>
  <printOptions horizontalCentered="1"/>
  <pageMargins left="0.70000000000000007" right="0.70000000000000007" top="0.75000000000000011" bottom="0.75000000000000011" header="0.30000000000000004" footer="0.30000000000000004"/>
  <pageSetup paperSize="9" scale="82" orientation="portrait" horizontalDpi="0" verticalDpi="0"/>
  <rowBreaks count="1" manualBreakCount="1">
    <brk id="47" max="16383" man="1"/>
  </rowBreaks>
  <colBreaks count="1" manualBreakCount="1">
    <brk id="7" max="1048575" man="1"/>
  </colBreaks>
  <ignoredErrors>
    <ignoredError sqref="F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9907-DC32-774A-8A78-4AEE7C9B0139}">
  <sheetPr>
    <pageSetUpPr fitToPage="1"/>
  </sheetPr>
  <dimension ref="A1:G54"/>
  <sheetViews>
    <sheetView zoomScale="120" zoomScaleNormal="120" workbookViewId="0">
      <selection sqref="A1:G1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62</v>
      </c>
      <c r="B1" s="124"/>
      <c r="C1" s="124"/>
      <c r="D1" s="124"/>
      <c r="E1" s="124"/>
      <c r="F1" s="124"/>
      <c r="G1" s="124"/>
    </row>
    <row r="4" spans="1:7" x14ac:dyDescent="0.25">
      <c r="B4" s="1" t="s">
        <v>52</v>
      </c>
      <c r="C4" s="46">
        <v>36000</v>
      </c>
      <c r="D4" s="1" t="s">
        <v>53</v>
      </c>
      <c r="F4" s="4"/>
    </row>
    <row r="5" spans="1:7" x14ac:dyDescent="0.25">
      <c r="B5" s="12" t="s">
        <v>54</v>
      </c>
      <c r="C5" s="51">
        <v>3</v>
      </c>
      <c r="D5" s="20" t="s">
        <v>55</v>
      </c>
      <c r="E5" s="11"/>
      <c r="F5" s="11"/>
    </row>
    <row r="6" spans="1:7" x14ac:dyDescent="0.25">
      <c r="B6" s="1" t="s">
        <v>56</v>
      </c>
      <c r="C6" s="28"/>
      <c r="F6" s="4"/>
    </row>
    <row r="7" spans="1:7" x14ac:dyDescent="0.25">
      <c r="B7" s="15" t="s">
        <v>39</v>
      </c>
      <c r="C7" s="46">
        <v>5000</v>
      </c>
      <c r="D7" s="20"/>
      <c r="E7" s="11"/>
      <c r="F7" s="11"/>
    </row>
    <row r="8" spans="1:7" x14ac:dyDescent="0.25">
      <c r="B8" s="1" t="s">
        <v>78</v>
      </c>
      <c r="C8" s="31">
        <v>1000</v>
      </c>
      <c r="D8" s="1" t="s">
        <v>81</v>
      </c>
    </row>
    <row r="9" spans="1:7" x14ac:dyDescent="0.25">
      <c r="B9" s="1" t="s">
        <v>57</v>
      </c>
      <c r="C9" s="31">
        <v>2000</v>
      </c>
      <c r="D9" s="1" t="s">
        <v>58</v>
      </c>
    </row>
    <row r="10" spans="1:7" x14ac:dyDescent="0.25">
      <c r="B10" s="12" t="s">
        <v>21</v>
      </c>
      <c r="C10" s="48">
        <v>10</v>
      </c>
      <c r="D10" s="1" t="s">
        <v>82</v>
      </c>
    </row>
    <row r="11" spans="1:7" x14ac:dyDescent="0.25">
      <c r="B11" s="12" t="s">
        <v>84</v>
      </c>
      <c r="C11" s="14"/>
    </row>
    <row r="12" spans="1:7" x14ac:dyDescent="0.25">
      <c r="B12" s="15" t="s">
        <v>45</v>
      </c>
      <c r="C12" s="50">
        <v>1.5</v>
      </c>
      <c r="D12" s="20" t="s">
        <v>60</v>
      </c>
      <c r="E12" s="11"/>
      <c r="F12" s="11"/>
    </row>
    <row r="13" spans="1:7" x14ac:dyDescent="0.25">
      <c r="B13" s="15" t="s">
        <v>41</v>
      </c>
      <c r="C13" s="50">
        <v>0.5</v>
      </c>
      <c r="D13" s="11"/>
      <c r="E13" s="11"/>
      <c r="F13" s="11"/>
    </row>
    <row r="14" spans="1:7" x14ac:dyDescent="0.25">
      <c r="B14" s="15" t="s">
        <v>42</v>
      </c>
      <c r="C14" s="46">
        <v>1000</v>
      </c>
      <c r="D14" s="11"/>
      <c r="E14" s="11"/>
      <c r="F14" s="11"/>
    </row>
    <row r="15" spans="1:7" x14ac:dyDescent="0.25">
      <c r="B15" s="15" t="s">
        <v>61</v>
      </c>
      <c r="C15" s="46">
        <v>300</v>
      </c>
      <c r="D15" s="11"/>
      <c r="E15" s="11"/>
      <c r="F15" s="11"/>
    </row>
    <row r="16" spans="1:7" x14ac:dyDescent="0.25">
      <c r="B16" s="12"/>
      <c r="C16" s="21"/>
      <c r="D16" s="20"/>
      <c r="E16" s="11"/>
      <c r="F16" s="11"/>
    </row>
    <row r="17" spans="2:6" x14ac:dyDescent="0.25">
      <c r="B17" s="15"/>
      <c r="C17" s="16"/>
      <c r="D17" s="11"/>
      <c r="E17" s="11"/>
      <c r="F17" s="11"/>
    </row>
    <row r="18" spans="2:6" x14ac:dyDescent="0.25">
      <c r="B18" s="126" t="s">
        <v>23</v>
      </c>
      <c r="C18" s="126"/>
      <c r="D18" s="11"/>
    </row>
    <row r="19" spans="2:6" ht="6" customHeight="1" x14ac:dyDescent="0.25">
      <c r="B19" s="11"/>
      <c r="C19" s="11"/>
      <c r="D19" s="11"/>
    </row>
    <row r="20" spans="2:6" x14ac:dyDescent="0.25">
      <c r="B20" s="17" t="s">
        <v>25</v>
      </c>
      <c r="C20" s="41"/>
      <c r="D20" s="11"/>
    </row>
    <row r="21" spans="2:6" ht="18.95" customHeight="1" x14ac:dyDescent="0.25">
      <c r="B21" s="10" t="s">
        <v>26</v>
      </c>
      <c r="C21" s="42"/>
      <c r="D21" s="11"/>
    </row>
    <row r="22" spans="2:6" x14ac:dyDescent="0.25">
      <c r="B22" s="7" t="s">
        <v>0</v>
      </c>
      <c r="C22" s="43"/>
      <c r="D22" s="11"/>
    </row>
    <row r="23" spans="2:6" x14ac:dyDescent="0.25">
      <c r="D23" s="11"/>
    </row>
    <row r="24" spans="2:6" x14ac:dyDescent="0.25">
      <c r="D24" s="11"/>
    </row>
    <row r="25" spans="2:6" x14ac:dyDescent="0.25">
      <c r="D25" s="11"/>
    </row>
    <row r="26" spans="2:6" x14ac:dyDescent="0.25">
      <c r="B26" s="130" t="s">
        <v>24</v>
      </c>
      <c r="C26" s="130"/>
      <c r="D26" s="11"/>
      <c r="E26" s="126" t="s">
        <v>5</v>
      </c>
      <c r="F26" s="126"/>
    </row>
    <row r="27" spans="2:6" ht="6" customHeight="1" x14ac:dyDescent="0.25">
      <c r="D27" s="11"/>
    </row>
    <row r="28" spans="2:6" x14ac:dyDescent="0.25">
      <c r="B28" s="17" t="s">
        <v>27</v>
      </c>
      <c r="C28" s="38"/>
      <c r="D28" s="11"/>
      <c r="E28" s="7" t="s">
        <v>6</v>
      </c>
      <c r="F28" s="36"/>
    </row>
    <row r="29" spans="2:6" ht="6" customHeight="1" x14ac:dyDescent="0.25">
      <c r="B29" s="6"/>
      <c r="C29" s="40"/>
      <c r="D29" s="11"/>
      <c r="F29" s="29"/>
    </row>
    <row r="30" spans="2:6" x14ac:dyDescent="0.25">
      <c r="B30" s="18" t="s">
        <v>48</v>
      </c>
      <c r="C30" s="40"/>
      <c r="D30" s="11"/>
      <c r="E30" s="8" t="s">
        <v>7</v>
      </c>
      <c r="F30" s="30"/>
    </row>
    <row r="31" spans="2:6" x14ac:dyDescent="0.25">
      <c r="B31" s="18" t="s">
        <v>47</v>
      </c>
      <c r="C31" s="40"/>
      <c r="D31" s="11"/>
      <c r="E31" s="54" t="s">
        <v>65</v>
      </c>
      <c r="F31" s="40"/>
    </row>
    <row r="32" spans="2:6" ht="18.95" customHeight="1" x14ac:dyDescent="0.25">
      <c r="B32" s="18" t="s">
        <v>63</v>
      </c>
      <c r="C32" s="40"/>
      <c r="D32" s="11"/>
      <c r="E32" s="10" t="s">
        <v>30</v>
      </c>
      <c r="F32" s="39"/>
    </row>
    <row r="33" spans="2:6" ht="6" customHeight="1" x14ac:dyDescent="0.25">
      <c r="B33" s="6"/>
      <c r="C33" s="40"/>
      <c r="D33" s="11"/>
      <c r="F33" s="29"/>
    </row>
    <row r="34" spans="2:6" x14ac:dyDescent="0.25">
      <c r="B34" s="18" t="s">
        <v>64</v>
      </c>
      <c r="C34" s="40"/>
      <c r="D34" s="11"/>
      <c r="E34" s="8" t="s">
        <v>9</v>
      </c>
      <c r="F34" s="30"/>
    </row>
    <row r="35" spans="2:6" x14ac:dyDescent="0.25">
      <c r="B35" s="7" t="s">
        <v>29</v>
      </c>
      <c r="C35" s="36"/>
      <c r="D35" s="11"/>
      <c r="E35" s="6" t="s">
        <v>66</v>
      </c>
      <c r="F35" s="40"/>
    </row>
    <row r="36" spans="2:6" x14ac:dyDescent="0.25">
      <c r="D36" s="11"/>
      <c r="E36" s="6" t="s">
        <v>10</v>
      </c>
      <c r="F36" s="40"/>
    </row>
    <row r="37" spans="2:6" ht="18.95" customHeight="1" x14ac:dyDescent="0.25">
      <c r="D37" s="11"/>
      <c r="E37" s="6" t="s">
        <v>31</v>
      </c>
      <c r="F37" s="40"/>
    </row>
    <row r="38" spans="2:6" x14ac:dyDescent="0.25">
      <c r="D38" s="11"/>
      <c r="E38" s="6" t="s">
        <v>49</v>
      </c>
      <c r="F38" s="40"/>
    </row>
    <row r="39" spans="2:6" x14ac:dyDescent="0.25">
      <c r="D39" s="11"/>
      <c r="E39" s="10" t="s">
        <v>67</v>
      </c>
      <c r="F39" s="39"/>
    </row>
    <row r="40" spans="2:6" ht="6" customHeight="1" x14ac:dyDescent="0.25">
      <c r="D40" s="11"/>
    </row>
    <row r="41" spans="2:6" x14ac:dyDescent="0.25">
      <c r="D41" s="11"/>
      <c r="E41" s="7" t="s">
        <v>11</v>
      </c>
      <c r="F41" s="36"/>
    </row>
    <row r="42" spans="2:6" x14ac:dyDescent="0.25">
      <c r="D42" s="11"/>
      <c r="E42" s="11"/>
      <c r="F42" s="11"/>
    </row>
    <row r="44" spans="2:6" x14ac:dyDescent="0.25">
      <c r="B44" s="3"/>
      <c r="C44" s="5"/>
    </row>
    <row r="45" spans="2:6" x14ac:dyDescent="0.25">
      <c r="B45" s="126" t="s">
        <v>12</v>
      </c>
      <c r="C45" s="126"/>
      <c r="D45" s="126"/>
      <c r="E45" s="126"/>
      <c r="F45" s="126"/>
    </row>
    <row r="46" spans="2:6" ht="6" customHeight="1" x14ac:dyDescent="0.25">
      <c r="D46" s="11"/>
      <c r="E46" s="11"/>
      <c r="F46" s="11"/>
    </row>
    <row r="47" spans="2:6" x14ac:dyDescent="0.25">
      <c r="B47" s="127" t="s">
        <v>13</v>
      </c>
      <c r="C47" s="128"/>
      <c r="D47" s="3"/>
      <c r="E47" s="127" t="s">
        <v>68</v>
      </c>
      <c r="F47" s="128"/>
    </row>
    <row r="48" spans="2:6" x14ac:dyDescent="0.25">
      <c r="B48" s="33" t="s">
        <v>69</v>
      </c>
      <c r="C48" s="53"/>
      <c r="D48" s="3"/>
      <c r="E48" s="24" t="s">
        <v>8</v>
      </c>
      <c r="F48" s="53"/>
    </row>
    <row r="49" spans="2:6" x14ac:dyDescent="0.25">
      <c r="B49" s="23" t="s">
        <v>70</v>
      </c>
      <c r="C49" s="53"/>
      <c r="D49" s="3"/>
      <c r="E49" s="25" t="s">
        <v>74</v>
      </c>
      <c r="F49" s="53"/>
    </row>
    <row r="50" spans="2:6" x14ac:dyDescent="0.25">
      <c r="B50" s="22" t="s">
        <v>71</v>
      </c>
      <c r="C50" s="40"/>
      <c r="D50" s="3"/>
      <c r="E50" s="25" t="s">
        <v>75</v>
      </c>
      <c r="F50" s="53"/>
    </row>
    <row r="51" spans="2:6" x14ac:dyDescent="0.25">
      <c r="B51" s="6" t="s">
        <v>14</v>
      </c>
      <c r="C51" s="40"/>
      <c r="E51" s="6" t="s">
        <v>72</v>
      </c>
      <c r="F51" s="40"/>
    </row>
    <row r="52" spans="2:6" x14ac:dyDescent="0.25">
      <c r="B52" s="6" t="s">
        <v>50</v>
      </c>
      <c r="C52" s="40"/>
      <c r="E52" s="6"/>
      <c r="F52" s="40"/>
    </row>
    <row r="53" spans="2:6" x14ac:dyDescent="0.25">
      <c r="B53" s="6" t="s">
        <v>15</v>
      </c>
      <c r="C53" s="40"/>
      <c r="E53" s="6" t="s">
        <v>73</v>
      </c>
      <c r="F53" s="40"/>
    </row>
    <row r="54" spans="2:6" x14ac:dyDescent="0.25">
      <c r="B54" s="7" t="s">
        <v>16</v>
      </c>
      <c r="C54" s="36"/>
      <c r="D54" s="3"/>
      <c r="E54" s="7" t="s">
        <v>19</v>
      </c>
      <c r="F54" s="36"/>
    </row>
  </sheetData>
  <mergeCells count="7">
    <mergeCell ref="B47:C47"/>
    <mergeCell ref="E47:F47"/>
    <mergeCell ref="A1:G1"/>
    <mergeCell ref="B18:C18"/>
    <mergeCell ref="B26:C26"/>
    <mergeCell ref="E26:F26"/>
    <mergeCell ref="B45:F45"/>
  </mergeCells>
  <printOptions horizontalCentered="1"/>
  <pageMargins left="0.70000000000000007" right="0.70000000000000007" top="0.75000000000000011" bottom="0.75000000000000011" header="0.30000000000000004" footer="0.30000000000000004"/>
  <pageSetup paperSize="9" scale="82" orientation="portrait" horizontalDpi="0" verticalDpi="0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D49A-3289-054A-B77C-3FF59B683B59}">
  <dimension ref="A1:G54"/>
  <sheetViews>
    <sheetView topLeftCell="A26" workbookViewId="0">
      <selection activeCell="F55" sqref="F55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62</v>
      </c>
      <c r="B1" s="124"/>
      <c r="C1" s="124"/>
      <c r="D1" s="124"/>
      <c r="E1" s="124"/>
      <c r="F1" s="124"/>
      <c r="G1" s="124"/>
    </row>
    <row r="4" spans="1:7" x14ac:dyDescent="0.25">
      <c r="B4" s="1" t="s">
        <v>52</v>
      </c>
      <c r="C4" s="46">
        <v>36000</v>
      </c>
      <c r="D4" s="1" t="s">
        <v>53</v>
      </c>
      <c r="F4" s="4"/>
    </row>
    <row r="5" spans="1:7" x14ac:dyDescent="0.25">
      <c r="B5" s="12" t="s">
        <v>54</v>
      </c>
      <c r="C5" s="51">
        <v>3</v>
      </c>
      <c r="D5" s="20" t="s">
        <v>55</v>
      </c>
      <c r="E5" s="11"/>
      <c r="F5" s="11"/>
    </row>
    <row r="6" spans="1:7" x14ac:dyDescent="0.25">
      <c r="B6" s="1" t="s">
        <v>56</v>
      </c>
      <c r="C6" s="28"/>
      <c r="F6" s="4"/>
    </row>
    <row r="7" spans="1:7" x14ac:dyDescent="0.25">
      <c r="B7" s="15" t="s">
        <v>39</v>
      </c>
      <c r="C7" s="46">
        <v>5000</v>
      </c>
      <c r="D7" s="20"/>
      <c r="E7" s="11"/>
      <c r="F7" s="11"/>
    </row>
    <row r="8" spans="1:7" x14ac:dyDescent="0.25">
      <c r="B8" s="1" t="s">
        <v>78</v>
      </c>
      <c r="C8" s="31">
        <v>1000</v>
      </c>
      <c r="D8" s="1" t="s">
        <v>81</v>
      </c>
    </row>
    <row r="9" spans="1:7" x14ac:dyDescent="0.25">
      <c r="B9" s="1" t="s">
        <v>57</v>
      </c>
      <c r="C9" s="31">
        <v>2000</v>
      </c>
      <c r="D9" s="1" t="s">
        <v>58</v>
      </c>
    </row>
    <row r="10" spans="1:7" x14ac:dyDescent="0.25">
      <c r="B10" s="12" t="s">
        <v>21</v>
      </c>
      <c r="C10" s="48">
        <v>10</v>
      </c>
      <c r="D10" s="1" t="s">
        <v>82</v>
      </c>
    </row>
    <row r="11" spans="1:7" x14ac:dyDescent="0.25">
      <c r="B11" s="12" t="s">
        <v>84</v>
      </c>
      <c r="C11" s="14"/>
    </row>
    <row r="12" spans="1:7" x14ac:dyDescent="0.25">
      <c r="B12" s="15" t="s">
        <v>45</v>
      </c>
      <c r="C12" s="50">
        <v>1.5</v>
      </c>
      <c r="D12" s="20" t="s">
        <v>60</v>
      </c>
      <c r="E12" s="11"/>
      <c r="F12" s="11"/>
    </row>
    <row r="13" spans="1:7" x14ac:dyDescent="0.25">
      <c r="B13" s="15" t="s">
        <v>41</v>
      </c>
      <c r="C13" s="50">
        <v>0.5</v>
      </c>
      <c r="D13" s="11"/>
      <c r="E13" s="11"/>
      <c r="F13" s="11"/>
    </row>
    <row r="14" spans="1:7" x14ac:dyDescent="0.25">
      <c r="B14" s="15" t="s">
        <v>42</v>
      </c>
      <c r="C14" s="46">
        <v>1000</v>
      </c>
      <c r="D14" s="11"/>
      <c r="E14" s="11"/>
      <c r="F14" s="11"/>
    </row>
    <row r="15" spans="1:7" x14ac:dyDescent="0.25">
      <c r="B15" s="15" t="s">
        <v>61</v>
      </c>
      <c r="C15" s="46">
        <v>300</v>
      </c>
      <c r="D15" s="11"/>
      <c r="E15" s="11"/>
      <c r="F15" s="11"/>
    </row>
    <row r="16" spans="1:7" x14ac:dyDescent="0.25">
      <c r="B16" s="12"/>
      <c r="C16" s="21"/>
      <c r="D16" s="20"/>
      <c r="E16" s="11"/>
      <c r="F16" s="11"/>
    </row>
    <row r="17" spans="2:6" x14ac:dyDescent="0.25">
      <c r="B17" s="15"/>
      <c r="C17" s="16"/>
      <c r="D17" s="11"/>
      <c r="E17" s="11"/>
      <c r="F17" s="11"/>
    </row>
    <row r="18" spans="2:6" x14ac:dyDescent="0.25">
      <c r="B18" s="126" t="s">
        <v>23</v>
      </c>
      <c r="C18" s="126"/>
      <c r="D18" s="11"/>
    </row>
    <row r="19" spans="2:6" ht="6" customHeight="1" x14ac:dyDescent="0.25">
      <c r="B19" s="11"/>
      <c r="C19" s="11"/>
      <c r="D19" s="11"/>
    </row>
    <row r="20" spans="2:6" x14ac:dyDescent="0.25">
      <c r="B20" s="17" t="s">
        <v>25</v>
      </c>
      <c r="C20" s="41">
        <f>C12</f>
        <v>1.5</v>
      </c>
      <c r="D20" s="11"/>
    </row>
    <row r="21" spans="2:6" ht="18.95" customHeight="1" x14ac:dyDescent="0.25">
      <c r="B21" s="10" t="s">
        <v>26</v>
      </c>
      <c r="C21" s="42">
        <f>C13</f>
        <v>0.5</v>
      </c>
      <c r="D21" s="11"/>
    </row>
    <row r="22" spans="2:6" x14ac:dyDescent="0.25">
      <c r="B22" s="7" t="s">
        <v>0</v>
      </c>
      <c r="C22" s="43">
        <f>C20+C21</f>
        <v>2</v>
      </c>
      <c r="D22" s="11"/>
    </row>
    <row r="23" spans="2:6" x14ac:dyDescent="0.25">
      <c r="D23" s="11"/>
    </row>
    <row r="24" spans="2:6" x14ac:dyDescent="0.25">
      <c r="D24" s="11"/>
    </row>
    <row r="25" spans="2:6" x14ac:dyDescent="0.25">
      <c r="D25" s="11"/>
    </row>
    <row r="26" spans="2:6" x14ac:dyDescent="0.25">
      <c r="B26" s="130" t="s">
        <v>24</v>
      </c>
      <c r="C26" s="130"/>
      <c r="D26" s="11"/>
      <c r="E26" s="126" t="s">
        <v>5</v>
      </c>
      <c r="F26" s="126"/>
    </row>
    <row r="27" spans="2:6" ht="6" customHeight="1" x14ac:dyDescent="0.25">
      <c r="D27" s="11"/>
    </row>
    <row r="28" spans="2:6" x14ac:dyDescent="0.25">
      <c r="B28" s="17" t="s">
        <v>27</v>
      </c>
      <c r="C28" s="38">
        <f>C10*(C8+C9)</f>
        <v>30000</v>
      </c>
      <c r="D28" s="11"/>
      <c r="E28" s="7" t="s">
        <v>6</v>
      </c>
      <c r="F28" s="36">
        <f>February!C46</f>
        <v>6500</v>
      </c>
    </row>
    <row r="29" spans="2:6" ht="6" customHeight="1" x14ac:dyDescent="0.25">
      <c r="B29" s="6"/>
      <c r="C29" s="40"/>
      <c r="D29" s="11"/>
      <c r="F29" s="29"/>
    </row>
    <row r="30" spans="2:6" x14ac:dyDescent="0.25">
      <c r="B30" s="18" t="s">
        <v>48</v>
      </c>
      <c r="C30" s="40">
        <f>-C22*(C8+C9)</f>
        <v>-6000</v>
      </c>
      <c r="D30" s="11"/>
      <c r="E30" s="8" t="s">
        <v>7</v>
      </c>
      <c r="F30" s="30"/>
    </row>
    <row r="31" spans="2:6" x14ac:dyDescent="0.25">
      <c r="B31" s="18" t="s">
        <v>47</v>
      </c>
      <c r="C31" s="40">
        <f>-C14</f>
        <v>-1000</v>
      </c>
      <c r="D31" s="11"/>
      <c r="E31" s="54" t="s">
        <v>65</v>
      </c>
      <c r="F31" s="40">
        <f>February!C45</f>
        <v>20000</v>
      </c>
    </row>
    <row r="32" spans="2:6" ht="18.95" customHeight="1" x14ac:dyDescent="0.25">
      <c r="B32" s="18" t="s">
        <v>63</v>
      </c>
      <c r="C32" s="40">
        <f>-C15</f>
        <v>-300</v>
      </c>
      <c r="D32" s="11"/>
      <c r="E32" s="10" t="s">
        <v>30</v>
      </c>
      <c r="F32" s="39">
        <f>C8*C10</f>
        <v>10000</v>
      </c>
    </row>
    <row r="33" spans="2:6" ht="6" customHeight="1" x14ac:dyDescent="0.25">
      <c r="B33" s="6"/>
      <c r="C33" s="40"/>
      <c r="D33" s="11"/>
      <c r="F33" s="29"/>
    </row>
    <row r="34" spans="2:6" x14ac:dyDescent="0.25">
      <c r="B34" s="18" t="s">
        <v>64</v>
      </c>
      <c r="C34" s="40">
        <f>-C4/C5/12</f>
        <v>-1000</v>
      </c>
      <c r="D34" s="11"/>
      <c r="E34" s="8" t="s">
        <v>9</v>
      </c>
      <c r="F34" s="30"/>
    </row>
    <row r="35" spans="2:6" x14ac:dyDescent="0.25">
      <c r="B35" s="7" t="s">
        <v>29</v>
      </c>
      <c r="C35" s="36">
        <f>SUM(C28:C34)</f>
        <v>21700</v>
      </c>
      <c r="D35" s="11"/>
      <c r="E35" s="6" t="s">
        <v>66</v>
      </c>
      <c r="F35" s="40">
        <f>-C4/2</f>
        <v>-18000</v>
      </c>
    </row>
    <row r="36" spans="2:6" x14ac:dyDescent="0.25">
      <c r="D36" s="11"/>
      <c r="E36" s="6" t="s">
        <v>10</v>
      </c>
      <c r="F36" s="40">
        <f>-C7</f>
        <v>-5000</v>
      </c>
    </row>
    <row r="37" spans="2:6" ht="18.95" customHeight="1" x14ac:dyDescent="0.25">
      <c r="D37" s="11"/>
      <c r="E37" s="6" t="s">
        <v>31</v>
      </c>
      <c r="F37" s="40">
        <f>-C21*(C8+C9)</f>
        <v>-1500</v>
      </c>
    </row>
    <row r="38" spans="2:6" x14ac:dyDescent="0.25">
      <c r="D38" s="11"/>
      <c r="E38" s="6" t="s">
        <v>49</v>
      </c>
      <c r="F38" s="40">
        <f>-C14</f>
        <v>-1000</v>
      </c>
    </row>
    <row r="39" spans="2:6" x14ac:dyDescent="0.25">
      <c r="D39" s="11"/>
      <c r="E39" s="10" t="s">
        <v>67</v>
      </c>
      <c r="F39" s="39">
        <f>-C15</f>
        <v>-300</v>
      </c>
    </row>
    <row r="40" spans="2:6" ht="6" customHeight="1" x14ac:dyDescent="0.25">
      <c r="D40" s="11"/>
    </row>
    <row r="41" spans="2:6" x14ac:dyDescent="0.25">
      <c r="D41" s="11"/>
      <c r="E41" s="7" t="s">
        <v>11</v>
      </c>
      <c r="F41" s="36">
        <f>SUM(F28:F39)</f>
        <v>10700</v>
      </c>
    </row>
    <row r="42" spans="2:6" x14ac:dyDescent="0.25">
      <c r="D42" s="11"/>
      <c r="E42" s="11"/>
      <c r="F42" s="11"/>
    </row>
    <row r="44" spans="2:6" x14ac:dyDescent="0.25">
      <c r="B44" s="3"/>
      <c r="C44" s="5"/>
    </row>
    <row r="45" spans="2:6" x14ac:dyDescent="0.25">
      <c r="B45" s="126" t="s">
        <v>12</v>
      </c>
      <c r="C45" s="126"/>
      <c r="D45" s="126"/>
      <c r="E45" s="126"/>
      <c r="F45" s="126"/>
    </row>
    <row r="46" spans="2:6" ht="6" customHeight="1" x14ac:dyDescent="0.25">
      <c r="D46" s="11"/>
      <c r="E46" s="11"/>
      <c r="F46" s="11"/>
    </row>
    <row r="47" spans="2:6" x14ac:dyDescent="0.25">
      <c r="B47" s="127" t="s">
        <v>13</v>
      </c>
      <c r="C47" s="128"/>
      <c r="D47" s="3"/>
      <c r="E47" s="127" t="s">
        <v>68</v>
      </c>
      <c r="F47" s="128"/>
    </row>
    <row r="48" spans="2:6" x14ac:dyDescent="0.25">
      <c r="B48" s="33" t="s">
        <v>69</v>
      </c>
      <c r="C48" s="53">
        <f>C4</f>
        <v>36000</v>
      </c>
      <c r="D48" s="3"/>
      <c r="E48" s="24" t="s">
        <v>8</v>
      </c>
      <c r="F48" s="53">
        <f>February!F44</f>
        <v>5000</v>
      </c>
    </row>
    <row r="49" spans="2:6" x14ac:dyDescent="0.25">
      <c r="B49" s="23" t="s">
        <v>70</v>
      </c>
      <c r="C49" s="53">
        <f>C34</f>
        <v>-1000</v>
      </c>
      <c r="D49" s="3"/>
      <c r="E49" s="25" t="s">
        <v>74</v>
      </c>
      <c r="F49" s="53">
        <f>February!F45+February!F46</f>
        <v>22000</v>
      </c>
    </row>
    <row r="50" spans="2:6" x14ac:dyDescent="0.25">
      <c r="B50" s="22" t="s">
        <v>71</v>
      </c>
      <c r="C50" s="40">
        <f>C48+C49</f>
        <v>35000</v>
      </c>
      <c r="D50" s="3"/>
      <c r="E50" s="25" t="s">
        <v>75</v>
      </c>
      <c r="F50" s="53">
        <f>C35</f>
        <v>21700</v>
      </c>
    </row>
    <row r="51" spans="2:6" x14ac:dyDescent="0.25">
      <c r="B51" s="6" t="s">
        <v>14</v>
      </c>
      <c r="C51" s="40">
        <f>February!C44+C7-C20*(C8+C9)</f>
        <v>1000</v>
      </c>
      <c r="E51" s="6" t="s">
        <v>72</v>
      </c>
      <c r="F51" s="40">
        <f>SUM(F48:F50)</f>
        <v>48700</v>
      </c>
    </row>
    <row r="52" spans="2:6" x14ac:dyDescent="0.25">
      <c r="B52" s="6" t="s">
        <v>50</v>
      </c>
      <c r="C52" s="40">
        <f>C9*C10</f>
        <v>20000</v>
      </c>
      <c r="E52" s="6"/>
      <c r="F52" s="40"/>
    </row>
    <row r="53" spans="2:6" x14ac:dyDescent="0.25">
      <c r="B53" s="6" t="s">
        <v>15</v>
      </c>
      <c r="C53" s="40">
        <f>F41</f>
        <v>10700</v>
      </c>
      <c r="E53" s="6" t="s">
        <v>73</v>
      </c>
      <c r="F53" s="40">
        <f>C4/2</f>
        <v>18000</v>
      </c>
    </row>
    <row r="54" spans="2:6" x14ac:dyDescent="0.25">
      <c r="B54" s="7" t="s">
        <v>16</v>
      </c>
      <c r="C54" s="36">
        <f>SUM(C50:C53)</f>
        <v>66700</v>
      </c>
      <c r="D54" s="3"/>
      <c r="E54" s="7" t="s">
        <v>19</v>
      </c>
      <c r="F54" s="36">
        <f>SUM(F51:F53)</f>
        <v>66700</v>
      </c>
    </row>
  </sheetData>
  <mergeCells count="7">
    <mergeCell ref="B47:C47"/>
    <mergeCell ref="E47:F47"/>
    <mergeCell ref="A1:G1"/>
    <mergeCell ref="B18:C18"/>
    <mergeCell ref="B26:C26"/>
    <mergeCell ref="E26:F26"/>
    <mergeCell ref="B45:F45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2ECF-70EA-804E-8CAA-97D4055B0453}">
  <dimension ref="A1:G54"/>
  <sheetViews>
    <sheetView topLeftCell="A4" workbookViewId="0">
      <selection sqref="A1:G1"/>
    </sheetView>
  </sheetViews>
  <sheetFormatPr baseColWidth="10" defaultColWidth="10.875" defaultRowHeight="18.75" x14ac:dyDescent="0.25"/>
  <cols>
    <col min="1" max="1" width="3.625" style="1" customWidth="1"/>
    <col min="2" max="2" width="26.625" style="1" customWidth="1"/>
    <col min="3" max="3" width="17.375" style="1" customWidth="1"/>
    <col min="4" max="4" width="4.875" style="1" customWidth="1"/>
    <col min="5" max="5" width="26.625" style="1" customWidth="1"/>
    <col min="6" max="6" width="17.5" style="1" customWidth="1"/>
    <col min="7" max="7" width="3.625" style="1" customWidth="1"/>
    <col min="8" max="16384" width="10.875" style="1"/>
  </cols>
  <sheetData>
    <row r="1" spans="1:7" ht="23.25" x14ac:dyDescent="0.25">
      <c r="A1" s="124" t="s">
        <v>85</v>
      </c>
      <c r="B1" s="124"/>
      <c r="C1" s="124"/>
      <c r="D1" s="124"/>
      <c r="E1" s="124"/>
      <c r="F1" s="124"/>
      <c r="G1" s="124"/>
    </row>
    <row r="4" spans="1:7" x14ac:dyDescent="0.25">
      <c r="B4" s="1" t="s">
        <v>86</v>
      </c>
      <c r="C4" s="28"/>
      <c r="F4" s="4"/>
    </row>
    <row r="5" spans="1:7" x14ac:dyDescent="0.25">
      <c r="B5" s="15" t="s">
        <v>39</v>
      </c>
      <c r="C5" s="46">
        <v>5000</v>
      </c>
      <c r="D5" s="20"/>
      <c r="E5" s="11"/>
      <c r="F5" s="11"/>
    </row>
    <row r="6" spans="1:7" x14ac:dyDescent="0.25">
      <c r="B6" s="1" t="s">
        <v>78</v>
      </c>
      <c r="C6" s="31">
        <v>4000</v>
      </c>
      <c r="D6" s="1" t="s">
        <v>87</v>
      </c>
    </row>
    <row r="7" spans="1:7" x14ac:dyDescent="0.25">
      <c r="B7" s="1" t="s">
        <v>88</v>
      </c>
      <c r="C7" s="31"/>
    </row>
    <row r="8" spans="1:7" x14ac:dyDescent="0.25">
      <c r="B8" s="2" t="s">
        <v>89</v>
      </c>
      <c r="C8" s="48">
        <v>10</v>
      </c>
      <c r="D8" s="1" t="s">
        <v>90</v>
      </c>
    </row>
    <row r="9" spans="1:7" x14ac:dyDescent="0.25">
      <c r="B9" s="55" t="s">
        <v>91</v>
      </c>
      <c r="C9" s="56">
        <v>60</v>
      </c>
    </row>
    <row r="10" spans="1:7" x14ac:dyDescent="0.25">
      <c r="B10" s="12" t="s">
        <v>92</v>
      </c>
      <c r="C10" s="14"/>
    </row>
    <row r="11" spans="1:7" x14ac:dyDescent="0.25">
      <c r="B11" s="15" t="s">
        <v>45</v>
      </c>
      <c r="C11" s="50">
        <v>1.5</v>
      </c>
    </row>
    <row r="12" spans="1:7" x14ac:dyDescent="0.25">
      <c r="B12" s="15" t="s">
        <v>41</v>
      </c>
      <c r="C12" s="50">
        <v>0.5</v>
      </c>
      <c r="D12" s="11"/>
      <c r="E12" s="11"/>
      <c r="F12" s="11"/>
    </row>
    <row r="13" spans="1:7" x14ac:dyDescent="0.25">
      <c r="B13" s="15" t="s">
        <v>42</v>
      </c>
      <c r="C13" s="46">
        <v>1000</v>
      </c>
      <c r="D13" s="11"/>
      <c r="E13" s="11"/>
      <c r="F13" s="11"/>
    </row>
    <row r="14" spans="1:7" x14ac:dyDescent="0.25">
      <c r="B14" s="15" t="s">
        <v>61</v>
      </c>
      <c r="C14" s="46">
        <v>300</v>
      </c>
      <c r="D14" s="11"/>
      <c r="E14" s="11"/>
      <c r="F14" s="11"/>
    </row>
    <row r="15" spans="1:7" x14ac:dyDescent="0.25">
      <c r="B15" s="12"/>
      <c r="C15" s="21"/>
      <c r="D15" s="20"/>
      <c r="E15" s="11"/>
      <c r="F15" s="11"/>
    </row>
    <row r="16" spans="1:7" x14ac:dyDescent="0.25">
      <c r="B16" s="15"/>
      <c r="C16" s="16"/>
      <c r="D16" s="11"/>
      <c r="E16" s="11"/>
      <c r="F16" s="11"/>
    </row>
    <row r="17" spans="2:6" x14ac:dyDescent="0.25">
      <c r="B17" s="126" t="s">
        <v>23</v>
      </c>
      <c r="C17" s="126"/>
      <c r="D17" s="11"/>
    </row>
    <row r="18" spans="2:6" ht="6" customHeight="1" x14ac:dyDescent="0.25">
      <c r="D18" s="11"/>
    </row>
    <row r="19" spans="2:6" x14ac:dyDescent="0.25">
      <c r="B19" s="17" t="s">
        <v>25</v>
      </c>
      <c r="C19" s="41"/>
      <c r="D19" s="11"/>
    </row>
    <row r="20" spans="2:6" x14ac:dyDescent="0.25">
      <c r="B20" s="10" t="s">
        <v>26</v>
      </c>
      <c r="C20" s="42"/>
      <c r="D20" s="11"/>
    </row>
    <row r="21" spans="2:6" x14ac:dyDescent="0.25">
      <c r="B21" s="7" t="s">
        <v>0</v>
      </c>
      <c r="C21" s="43"/>
      <c r="D21" s="11"/>
    </row>
    <row r="22" spans="2:6" x14ac:dyDescent="0.25">
      <c r="D22" s="11"/>
      <c r="E22" s="11"/>
      <c r="F22" s="11"/>
    </row>
    <row r="23" spans="2:6" x14ac:dyDescent="0.25">
      <c r="D23" s="11"/>
      <c r="E23" s="11"/>
      <c r="F23" s="11"/>
    </row>
    <row r="24" spans="2:6" x14ac:dyDescent="0.25">
      <c r="D24" s="11"/>
      <c r="E24" s="11"/>
      <c r="F24" s="11"/>
    </row>
    <row r="25" spans="2:6" x14ac:dyDescent="0.25">
      <c r="B25" s="130" t="s">
        <v>24</v>
      </c>
      <c r="C25" s="130"/>
      <c r="D25" s="11"/>
      <c r="E25" s="126" t="s">
        <v>5</v>
      </c>
      <c r="F25" s="126"/>
    </row>
    <row r="26" spans="2:6" ht="6" customHeight="1" x14ac:dyDescent="0.25">
      <c r="D26" s="11"/>
    </row>
    <row r="27" spans="2:6" x14ac:dyDescent="0.25">
      <c r="B27" s="17" t="s">
        <v>27</v>
      </c>
      <c r="C27" s="38"/>
      <c r="D27" s="11"/>
      <c r="E27" s="7" t="s">
        <v>6</v>
      </c>
      <c r="F27" s="36"/>
    </row>
    <row r="28" spans="2:6" ht="6" customHeight="1" x14ac:dyDescent="0.25">
      <c r="B28" s="6"/>
      <c r="C28" s="40"/>
      <c r="D28" s="11"/>
      <c r="F28" s="29"/>
    </row>
    <row r="29" spans="2:6" x14ac:dyDescent="0.25">
      <c r="B29" s="18" t="s">
        <v>48</v>
      </c>
      <c r="C29" s="40"/>
      <c r="D29" s="11"/>
      <c r="E29" s="8" t="s">
        <v>7</v>
      </c>
      <c r="F29" s="30"/>
    </row>
    <row r="30" spans="2:6" x14ac:dyDescent="0.25">
      <c r="B30" s="18" t="s">
        <v>47</v>
      </c>
      <c r="C30" s="40"/>
      <c r="D30" s="11"/>
      <c r="E30" s="54" t="s">
        <v>65</v>
      </c>
      <c r="F30" s="40"/>
    </row>
    <row r="31" spans="2:6" x14ac:dyDescent="0.25">
      <c r="B31" s="18" t="s">
        <v>63</v>
      </c>
      <c r="C31" s="40"/>
      <c r="D31" s="11"/>
      <c r="E31" s="10" t="s">
        <v>30</v>
      </c>
      <c r="F31" s="39"/>
    </row>
    <row r="32" spans="2:6" ht="6" customHeight="1" x14ac:dyDescent="0.25">
      <c r="B32" s="6"/>
      <c r="C32" s="40"/>
      <c r="D32" s="11"/>
      <c r="F32" s="29"/>
    </row>
    <row r="33" spans="2:6" x14ac:dyDescent="0.25">
      <c r="B33" s="18" t="s">
        <v>64</v>
      </c>
      <c r="C33" s="40"/>
      <c r="D33" s="11"/>
      <c r="E33" s="8" t="s">
        <v>9</v>
      </c>
      <c r="F33" s="30"/>
    </row>
    <row r="34" spans="2:6" x14ac:dyDescent="0.25">
      <c r="B34" s="7" t="s">
        <v>29</v>
      </c>
      <c r="C34" s="36"/>
      <c r="D34" s="11"/>
      <c r="E34" s="6" t="s">
        <v>93</v>
      </c>
      <c r="F34" s="40"/>
    </row>
    <row r="35" spans="2:6" x14ac:dyDescent="0.25">
      <c r="D35" s="11"/>
      <c r="E35" s="6" t="s">
        <v>10</v>
      </c>
      <c r="F35" s="40"/>
    </row>
    <row r="36" spans="2:6" x14ac:dyDescent="0.25">
      <c r="D36" s="11"/>
      <c r="E36" s="6" t="s">
        <v>31</v>
      </c>
      <c r="F36" s="40"/>
    </row>
    <row r="37" spans="2:6" x14ac:dyDescent="0.25">
      <c r="D37" s="11"/>
      <c r="E37" s="6" t="s">
        <v>49</v>
      </c>
      <c r="F37" s="40"/>
    </row>
    <row r="38" spans="2:6" x14ac:dyDescent="0.25">
      <c r="D38" s="11"/>
      <c r="E38" s="10" t="s">
        <v>67</v>
      </c>
      <c r="F38" s="39"/>
    </row>
    <row r="39" spans="2:6" ht="6" customHeight="1" x14ac:dyDescent="0.25">
      <c r="D39" s="11"/>
    </row>
    <row r="40" spans="2:6" x14ac:dyDescent="0.25">
      <c r="D40" s="11"/>
      <c r="E40" s="7" t="s">
        <v>11</v>
      </c>
      <c r="F40" s="36"/>
    </row>
    <row r="41" spans="2:6" x14ac:dyDescent="0.25">
      <c r="B41" s="3"/>
      <c r="C41" s="5"/>
      <c r="D41" s="11"/>
      <c r="E41" s="11"/>
      <c r="F41" s="11"/>
    </row>
    <row r="42" spans="2:6" x14ac:dyDescent="0.25">
      <c r="B42" s="3"/>
      <c r="C42" s="5"/>
    </row>
    <row r="43" spans="2:6" x14ac:dyDescent="0.25">
      <c r="B43" s="3"/>
      <c r="C43" s="5"/>
    </row>
    <row r="44" spans="2:6" x14ac:dyDescent="0.25">
      <c r="B44" s="126" t="s">
        <v>12</v>
      </c>
      <c r="C44" s="126"/>
      <c r="D44" s="126"/>
      <c r="E44" s="126"/>
      <c r="F44" s="126"/>
    </row>
    <row r="45" spans="2:6" ht="6" customHeight="1" x14ac:dyDescent="0.25"/>
    <row r="46" spans="2:6" x14ac:dyDescent="0.25">
      <c r="B46" s="127" t="s">
        <v>13</v>
      </c>
      <c r="C46" s="128"/>
      <c r="D46" s="3"/>
      <c r="E46" s="127" t="s">
        <v>68</v>
      </c>
      <c r="F46" s="128"/>
    </row>
    <row r="47" spans="2:6" x14ac:dyDescent="0.25">
      <c r="B47" s="33" t="s">
        <v>69</v>
      </c>
      <c r="C47" s="53"/>
      <c r="D47" s="3"/>
      <c r="E47" s="24" t="s">
        <v>8</v>
      </c>
      <c r="F47" s="53"/>
    </row>
    <row r="48" spans="2:6" x14ac:dyDescent="0.25">
      <c r="B48" s="23" t="s">
        <v>70</v>
      </c>
      <c r="C48" s="53"/>
      <c r="D48" s="3"/>
      <c r="E48" s="25" t="s">
        <v>74</v>
      </c>
      <c r="F48" s="53"/>
    </row>
    <row r="49" spans="2:6" x14ac:dyDescent="0.25">
      <c r="B49" s="22" t="s">
        <v>71</v>
      </c>
      <c r="C49" s="40"/>
      <c r="D49" s="3"/>
      <c r="E49" s="25" t="s">
        <v>75</v>
      </c>
      <c r="F49" s="53"/>
    </row>
    <row r="50" spans="2:6" x14ac:dyDescent="0.25">
      <c r="B50" s="6" t="s">
        <v>14</v>
      </c>
      <c r="C50" s="40"/>
      <c r="E50" s="6" t="s">
        <v>72</v>
      </c>
      <c r="F50" s="40"/>
    </row>
    <row r="51" spans="2:6" x14ac:dyDescent="0.25">
      <c r="B51" s="6" t="s">
        <v>50</v>
      </c>
      <c r="C51" s="40"/>
      <c r="E51" s="6"/>
      <c r="F51" s="40"/>
    </row>
    <row r="52" spans="2:6" x14ac:dyDescent="0.25">
      <c r="B52" s="6" t="s">
        <v>15</v>
      </c>
      <c r="C52" s="40"/>
      <c r="E52" s="6" t="s">
        <v>73</v>
      </c>
      <c r="F52" s="40"/>
    </row>
    <row r="53" spans="2:6" x14ac:dyDescent="0.25">
      <c r="B53" s="7" t="s">
        <v>16</v>
      </c>
      <c r="C53" s="36"/>
      <c r="D53" s="3"/>
      <c r="E53" s="7" t="s">
        <v>19</v>
      </c>
      <c r="F53" s="36"/>
    </row>
    <row r="54" spans="2:6" x14ac:dyDescent="0.25">
      <c r="B54" s="3"/>
      <c r="C54" s="5"/>
      <c r="D54" s="3"/>
      <c r="E54" s="3"/>
      <c r="F54" s="5"/>
    </row>
  </sheetData>
  <mergeCells count="7">
    <mergeCell ref="B46:C46"/>
    <mergeCell ref="E46:F46"/>
    <mergeCell ref="A1:G1"/>
    <mergeCell ref="B17:C17"/>
    <mergeCell ref="B25:C25"/>
    <mergeCell ref="E25:F25"/>
    <mergeCell ref="B44:F44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05F4-4F54-7541-8CF8-87422CD6EB04}">
  <dimension ref="A1:G54"/>
  <sheetViews>
    <sheetView zoomScale="71" zoomScaleNormal="71" workbookViewId="0">
      <selection activeCell="F40" sqref="F40"/>
    </sheetView>
  </sheetViews>
  <sheetFormatPr baseColWidth="10" defaultColWidth="10.875" defaultRowHeight="18.75" x14ac:dyDescent="0.25"/>
  <cols>
    <col min="1" max="1" width="3.625" style="57" customWidth="1"/>
    <col min="2" max="2" width="26.625" style="57" customWidth="1"/>
    <col min="3" max="3" width="17.375" style="57" customWidth="1"/>
    <col min="4" max="4" width="4.875" style="57" customWidth="1"/>
    <col min="5" max="5" width="26.625" style="57" customWidth="1"/>
    <col min="6" max="6" width="17.5" style="57" customWidth="1"/>
    <col min="7" max="7" width="3.625" style="57" customWidth="1"/>
    <col min="8" max="16384" width="10.875" style="57"/>
  </cols>
  <sheetData>
    <row r="1" spans="1:7" ht="23.25" x14ac:dyDescent="0.25">
      <c r="A1" s="133" t="s">
        <v>85</v>
      </c>
      <c r="B1" s="133"/>
      <c r="C1" s="133"/>
      <c r="D1" s="133"/>
      <c r="E1" s="133"/>
      <c r="F1" s="133"/>
      <c r="G1" s="133"/>
    </row>
    <row r="4" spans="1:7" x14ac:dyDescent="0.25">
      <c r="B4" s="57" t="s">
        <v>86</v>
      </c>
      <c r="C4" s="58"/>
      <c r="F4" s="59"/>
    </row>
    <row r="5" spans="1:7" x14ac:dyDescent="0.25">
      <c r="B5" s="60" t="s">
        <v>39</v>
      </c>
      <c r="C5" s="61">
        <v>5000</v>
      </c>
      <c r="D5" s="62"/>
      <c r="E5" s="63"/>
      <c r="F5" s="63"/>
    </row>
    <row r="6" spans="1:7" x14ac:dyDescent="0.25">
      <c r="B6" s="57" t="s">
        <v>78</v>
      </c>
      <c r="C6" s="64">
        <v>4000</v>
      </c>
      <c r="D6" s="57" t="s">
        <v>87</v>
      </c>
    </row>
    <row r="7" spans="1:7" x14ac:dyDescent="0.25">
      <c r="B7" s="57" t="s">
        <v>88</v>
      </c>
      <c r="C7" s="64"/>
    </row>
    <row r="8" spans="1:7" x14ac:dyDescent="0.25">
      <c r="B8" s="65" t="s">
        <v>89</v>
      </c>
      <c r="C8" s="66">
        <v>10</v>
      </c>
      <c r="D8" s="57" t="s">
        <v>90</v>
      </c>
    </row>
    <row r="9" spans="1:7" x14ac:dyDescent="0.25">
      <c r="B9" s="67" t="s">
        <v>91</v>
      </c>
      <c r="C9" s="68">
        <v>60</v>
      </c>
    </row>
    <row r="10" spans="1:7" x14ac:dyDescent="0.25">
      <c r="B10" s="69" t="s">
        <v>92</v>
      </c>
      <c r="C10" s="70"/>
    </row>
    <row r="11" spans="1:7" x14ac:dyDescent="0.25">
      <c r="B11" s="60" t="s">
        <v>45</v>
      </c>
      <c r="C11" s="71">
        <v>1.5</v>
      </c>
    </row>
    <row r="12" spans="1:7" x14ac:dyDescent="0.25">
      <c r="B12" s="60" t="s">
        <v>41</v>
      </c>
      <c r="C12" s="71">
        <v>0.5</v>
      </c>
      <c r="D12" s="63"/>
      <c r="E12" s="63"/>
      <c r="F12" s="63"/>
    </row>
    <row r="13" spans="1:7" x14ac:dyDescent="0.25">
      <c r="B13" s="60" t="s">
        <v>42</v>
      </c>
      <c r="C13" s="61">
        <v>1000</v>
      </c>
      <c r="D13" s="63"/>
      <c r="E13" s="63"/>
      <c r="F13" s="63"/>
    </row>
    <row r="14" spans="1:7" x14ac:dyDescent="0.25">
      <c r="B14" s="60" t="s">
        <v>61</v>
      </c>
      <c r="C14" s="61">
        <v>300</v>
      </c>
      <c r="D14" s="63"/>
      <c r="E14" s="63"/>
      <c r="F14" s="63"/>
    </row>
    <row r="15" spans="1:7" x14ac:dyDescent="0.25">
      <c r="B15" s="69"/>
      <c r="C15" s="72"/>
      <c r="D15" s="62"/>
      <c r="E15" s="63"/>
      <c r="F15" s="63"/>
    </row>
    <row r="16" spans="1:7" x14ac:dyDescent="0.25">
      <c r="B16" s="60"/>
      <c r="C16" s="73"/>
      <c r="D16" s="63"/>
      <c r="E16" s="63"/>
      <c r="F16" s="63"/>
    </row>
    <row r="17" spans="2:6" x14ac:dyDescent="0.25">
      <c r="B17" s="134" t="s">
        <v>23</v>
      </c>
      <c r="C17" s="134"/>
      <c r="D17" s="63"/>
    </row>
    <row r="18" spans="2:6" ht="6" customHeight="1" x14ac:dyDescent="0.25">
      <c r="D18" s="63"/>
    </row>
    <row r="19" spans="2:6" x14ac:dyDescent="0.25">
      <c r="B19" s="74" t="s">
        <v>25</v>
      </c>
      <c r="C19" s="75">
        <f>C11</f>
        <v>1.5</v>
      </c>
      <c r="D19" s="63"/>
    </row>
    <row r="20" spans="2:6" x14ac:dyDescent="0.25">
      <c r="B20" s="76" t="s">
        <v>26</v>
      </c>
      <c r="C20" s="77">
        <f>C12</f>
        <v>0.5</v>
      </c>
      <c r="D20" s="63"/>
    </row>
    <row r="21" spans="2:6" x14ac:dyDescent="0.25">
      <c r="B21" s="78" t="s">
        <v>0</v>
      </c>
      <c r="C21" s="79">
        <f>SUM(C19:C20)</f>
        <v>2</v>
      </c>
      <c r="D21" s="63"/>
    </row>
    <row r="22" spans="2:6" x14ac:dyDescent="0.25">
      <c r="D22" s="63"/>
      <c r="E22" s="63"/>
      <c r="F22" s="63"/>
    </row>
    <row r="23" spans="2:6" x14ac:dyDescent="0.25">
      <c r="D23" s="63"/>
      <c r="E23" s="63"/>
      <c r="F23" s="63"/>
    </row>
    <row r="24" spans="2:6" x14ac:dyDescent="0.25">
      <c r="D24" s="63"/>
      <c r="E24" s="63"/>
      <c r="F24" s="63"/>
    </row>
    <row r="25" spans="2:6" x14ac:dyDescent="0.25">
      <c r="B25" s="135" t="s">
        <v>24</v>
      </c>
      <c r="C25" s="135"/>
      <c r="D25" s="63"/>
      <c r="E25" s="134" t="s">
        <v>5</v>
      </c>
      <c r="F25" s="134"/>
    </row>
    <row r="26" spans="2:6" ht="6" customHeight="1" x14ac:dyDescent="0.25">
      <c r="D26" s="63"/>
    </row>
    <row r="27" spans="2:6" x14ac:dyDescent="0.25">
      <c r="B27" s="74" t="s">
        <v>27</v>
      </c>
      <c r="C27" s="80">
        <f>C6*C8</f>
        <v>40000</v>
      </c>
      <c r="D27" s="63"/>
      <c r="E27" s="78" t="s">
        <v>6</v>
      </c>
      <c r="F27" s="81">
        <f>March!C53</f>
        <v>10700</v>
      </c>
    </row>
    <row r="28" spans="2:6" ht="6" customHeight="1" x14ac:dyDescent="0.25">
      <c r="B28" s="82"/>
      <c r="C28" s="83"/>
      <c r="D28" s="63"/>
      <c r="F28" s="84"/>
    </row>
    <row r="29" spans="2:6" x14ac:dyDescent="0.25">
      <c r="B29" s="85" t="s">
        <v>48</v>
      </c>
      <c r="C29" s="83">
        <f>-C21*C6</f>
        <v>-8000</v>
      </c>
      <c r="D29" s="63"/>
      <c r="E29" s="86" t="s">
        <v>7</v>
      </c>
      <c r="F29" s="87"/>
    </row>
    <row r="30" spans="2:6" x14ac:dyDescent="0.25">
      <c r="B30" s="85" t="s">
        <v>47</v>
      </c>
      <c r="C30" s="83">
        <f>-C13</f>
        <v>-1000</v>
      </c>
      <c r="D30" s="63"/>
      <c r="E30" s="88" t="s">
        <v>65</v>
      </c>
      <c r="F30" s="83">
        <f>March!C52</f>
        <v>20000</v>
      </c>
    </row>
    <row r="31" spans="2:6" x14ac:dyDescent="0.25">
      <c r="B31" s="85" t="s">
        <v>63</v>
      </c>
      <c r="C31" s="83">
        <f>-C14</f>
        <v>-300</v>
      </c>
      <c r="D31" s="63"/>
      <c r="E31" s="76" t="s">
        <v>30</v>
      </c>
      <c r="F31" s="89">
        <v>0</v>
      </c>
    </row>
    <row r="32" spans="2:6" ht="6" customHeight="1" x14ac:dyDescent="0.25">
      <c r="B32" s="82"/>
      <c r="C32" s="83"/>
      <c r="D32" s="63"/>
      <c r="F32" s="84"/>
    </row>
    <row r="33" spans="2:6" x14ac:dyDescent="0.25">
      <c r="B33" s="85" t="s">
        <v>64</v>
      </c>
      <c r="C33" s="83">
        <f>March!C34</f>
        <v>-1000</v>
      </c>
      <c r="D33" s="63"/>
      <c r="E33" s="86" t="s">
        <v>9</v>
      </c>
      <c r="F33" s="87"/>
    </row>
    <row r="34" spans="2:6" x14ac:dyDescent="0.25">
      <c r="B34" s="78" t="s">
        <v>29</v>
      </c>
      <c r="C34" s="81">
        <f>SUM(C27:C33)</f>
        <v>29700</v>
      </c>
      <c r="D34" s="63"/>
      <c r="E34" s="82" t="s">
        <v>93</v>
      </c>
      <c r="F34" s="83">
        <f>-March!F53</f>
        <v>-18000</v>
      </c>
    </row>
    <row r="35" spans="2:6" x14ac:dyDescent="0.25">
      <c r="D35" s="63"/>
      <c r="E35" s="82" t="s">
        <v>10</v>
      </c>
      <c r="F35" s="83">
        <f>-C5</f>
        <v>-5000</v>
      </c>
    </row>
    <row r="36" spans="2:6" x14ac:dyDescent="0.25">
      <c r="D36" s="63"/>
      <c r="E36" s="82" t="s">
        <v>31</v>
      </c>
      <c r="F36" s="83">
        <f>-C12*C6</f>
        <v>-2000</v>
      </c>
    </row>
    <row r="37" spans="2:6" x14ac:dyDescent="0.25">
      <c r="D37" s="63"/>
      <c r="E37" s="82" t="s">
        <v>49</v>
      </c>
      <c r="F37" s="83">
        <f>-C13</f>
        <v>-1000</v>
      </c>
    </row>
    <row r="38" spans="2:6" x14ac:dyDescent="0.25">
      <c r="D38" s="63"/>
      <c r="E38" s="76" t="s">
        <v>67</v>
      </c>
      <c r="F38" s="89">
        <f>-C14</f>
        <v>-300</v>
      </c>
    </row>
    <row r="39" spans="2:6" ht="6" customHeight="1" x14ac:dyDescent="0.25">
      <c r="D39" s="63"/>
    </row>
    <row r="40" spans="2:6" x14ac:dyDescent="0.25">
      <c r="D40" s="63"/>
      <c r="E40" s="78" t="s">
        <v>11</v>
      </c>
      <c r="F40" s="81">
        <f>F27+SUM(F29:F31)+SUM(F33:F38)</f>
        <v>4400</v>
      </c>
    </row>
    <row r="41" spans="2:6" x14ac:dyDescent="0.25">
      <c r="B41" s="90"/>
      <c r="C41" s="91"/>
      <c r="D41" s="63"/>
      <c r="E41" s="63"/>
      <c r="F41" s="63"/>
    </row>
    <row r="42" spans="2:6" x14ac:dyDescent="0.25">
      <c r="B42" s="90"/>
      <c r="C42" s="91"/>
    </row>
    <row r="43" spans="2:6" x14ac:dyDescent="0.25">
      <c r="B43" s="90"/>
      <c r="C43" s="91"/>
    </row>
    <row r="44" spans="2:6" x14ac:dyDescent="0.25">
      <c r="B44" s="134" t="s">
        <v>12</v>
      </c>
      <c r="C44" s="134"/>
      <c r="D44" s="134"/>
      <c r="E44" s="134"/>
      <c r="F44" s="134"/>
    </row>
    <row r="45" spans="2:6" ht="6" customHeight="1" x14ac:dyDescent="0.25"/>
    <row r="46" spans="2:6" x14ac:dyDescent="0.25">
      <c r="B46" s="131" t="s">
        <v>13</v>
      </c>
      <c r="C46" s="132"/>
      <c r="D46" s="90"/>
      <c r="E46" s="131" t="s">
        <v>68</v>
      </c>
      <c r="F46" s="132"/>
    </row>
    <row r="47" spans="2:6" x14ac:dyDescent="0.25">
      <c r="B47" s="92" t="s">
        <v>69</v>
      </c>
      <c r="C47" s="93">
        <f>March!C48</f>
        <v>36000</v>
      </c>
      <c r="D47" s="90"/>
      <c r="E47" s="94" t="s">
        <v>8</v>
      </c>
      <c r="F47" s="93">
        <f>March!F48</f>
        <v>5000</v>
      </c>
    </row>
    <row r="48" spans="2:6" x14ac:dyDescent="0.25">
      <c r="B48" s="95" t="s">
        <v>70</v>
      </c>
      <c r="C48" s="93">
        <f>March!C49+April!C33</f>
        <v>-2000</v>
      </c>
      <c r="D48" s="90"/>
      <c r="E48" s="96" t="s">
        <v>74</v>
      </c>
      <c r="F48" s="93">
        <f>March!F49+March!F50</f>
        <v>43700</v>
      </c>
    </row>
    <row r="49" spans="2:6" x14ac:dyDescent="0.25">
      <c r="B49" s="97" t="s">
        <v>71</v>
      </c>
      <c r="C49" s="83">
        <f>SUM(C47:C48)</f>
        <v>34000</v>
      </c>
      <c r="D49" s="90"/>
      <c r="E49" s="96" t="s">
        <v>75</v>
      </c>
      <c r="F49" s="93">
        <f>C34</f>
        <v>29700</v>
      </c>
    </row>
    <row r="50" spans="2:6" x14ac:dyDescent="0.25">
      <c r="B50" s="82" t="s">
        <v>14</v>
      </c>
      <c r="C50" s="83">
        <f>March!C51+C5-C19*C6</f>
        <v>0</v>
      </c>
      <c r="E50" s="82" t="s">
        <v>72</v>
      </c>
      <c r="F50" s="83">
        <f>SUM(F47:F49)</f>
        <v>78400</v>
      </c>
    </row>
    <row r="51" spans="2:6" x14ac:dyDescent="0.25">
      <c r="B51" s="82" t="s">
        <v>50</v>
      </c>
      <c r="C51" s="83">
        <f>C6*C8</f>
        <v>40000</v>
      </c>
      <c r="E51" s="82"/>
      <c r="F51" s="83"/>
    </row>
    <row r="52" spans="2:6" x14ac:dyDescent="0.25">
      <c r="B52" s="82" t="s">
        <v>15</v>
      </c>
      <c r="C52" s="83">
        <f>F40</f>
        <v>4400</v>
      </c>
      <c r="E52" s="82" t="s">
        <v>73</v>
      </c>
      <c r="F52" s="83">
        <v>0</v>
      </c>
    </row>
    <row r="53" spans="2:6" x14ac:dyDescent="0.25">
      <c r="B53" s="78" t="s">
        <v>16</v>
      </c>
      <c r="C53" s="81">
        <f>SUM(C49:C52)</f>
        <v>78400</v>
      </c>
      <c r="D53" s="90"/>
      <c r="E53" s="78" t="s">
        <v>19</v>
      </c>
      <c r="F53" s="81">
        <f>SUM(F50:F52)</f>
        <v>78400</v>
      </c>
    </row>
    <row r="54" spans="2:6" x14ac:dyDescent="0.25">
      <c r="B54" s="90"/>
      <c r="C54" s="91"/>
      <c r="D54" s="90"/>
      <c r="E54" s="90"/>
      <c r="F54" s="91"/>
    </row>
  </sheetData>
  <mergeCells count="7">
    <mergeCell ref="B46:C46"/>
    <mergeCell ref="E46:F46"/>
    <mergeCell ref="A1:G1"/>
    <mergeCell ref="B17:C17"/>
    <mergeCell ref="B25:C25"/>
    <mergeCell ref="E25:F25"/>
    <mergeCell ref="B44:F44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2458-A551-E743-ABE3-C20ECF7513EE}">
  <sheetPr>
    <pageSetUpPr fitToPage="1"/>
  </sheetPr>
  <dimension ref="A1:H81"/>
  <sheetViews>
    <sheetView tabSelected="1" topLeftCell="A35" zoomScale="70" zoomScaleNormal="70" workbookViewId="0">
      <selection activeCell="C73" sqref="C73"/>
    </sheetView>
  </sheetViews>
  <sheetFormatPr baseColWidth="10" defaultColWidth="10.875" defaultRowHeight="18.75" x14ac:dyDescent="0.25"/>
  <cols>
    <col min="1" max="1" width="3.625" style="57" customWidth="1"/>
    <col min="2" max="2" width="35" style="57" customWidth="1"/>
    <col min="3" max="3" width="17.375" style="57" customWidth="1"/>
    <col min="4" max="4" width="4.875" style="57" customWidth="1"/>
    <col min="5" max="5" width="35" style="57" customWidth="1"/>
    <col min="6" max="6" width="17.5" style="57" customWidth="1"/>
    <col min="7" max="7" width="3.625" style="57" customWidth="1"/>
    <col min="8" max="8" width="28.625" style="57" customWidth="1"/>
    <col min="9" max="16384" width="10.875" style="57"/>
  </cols>
  <sheetData>
    <row r="1" spans="1:7" ht="23.25" x14ac:dyDescent="0.25">
      <c r="A1" s="133" t="s">
        <v>112</v>
      </c>
      <c r="B1" s="133"/>
      <c r="C1" s="133"/>
      <c r="D1" s="133"/>
      <c r="E1" s="133"/>
      <c r="F1" s="133"/>
      <c r="G1" s="133"/>
    </row>
    <row r="4" spans="1:7" x14ac:dyDescent="0.25">
      <c r="B4" s="57" t="s">
        <v>86</v>
      </c>
      <c r="C4" s="58"/>
      <c r="F4" s="59"/>
    </row>
    <row r="5" spans="1:7" x14ac:dyDescent="0.25">
      <c r="B5" s="60" t="s">
        <v>39</v>
      </c>
      <c r="C5" s="61">
        <v>8000</v>
      </c>
      <c r="D5" s="62" t="s">
        <v>94</v>
      </c>
      <c r="E5" s="63"/>
      <c r="F5" s="63"/>
    </row>
    <row r="6" spans="1:7" x14ac:dyDescent="0.25">
      <c r="B6" s="57" t="s">
        <v>78</v>
      </c>
      <c r="C6" s="64">
        <v>5000</v>
      </c>
      <c r="D6" s="57" t="s">
        <v>87</v>
      </c>
    </row>
    <row r="7" spans="1:7" x14ac:dyDescent="0.25">
      <c r="B7" s="57" t="s">
        <v>95</v>
      </c>
      <c r="C7" s="64"/>
    </row>
    <row r="8" spans="1:7" x14ac:dyDescent="0.25">
      <c r="B8" s="65" t="s">
        <v>89</v>
      </c>
      <c r="C8" s="66">
        <v>10</v>
      </c>
    </row>
    <row r="9" spans="1:7" x14ac:dyDescent="0.25">
      <c r="B9" s="67" t="s">
        <v>96</v>
      </c>
      <c r="C9" s="68">
        <v>60</v>
      </c>
    </row>
    <row r="10" spans="1:7" x14ac:dyDescent="0.25">
      <c r="B10" s="69" t="s">
        <v>97</v>
      </c>
      <c r="C10" s="70"/>
    </row>
    <row r="11" spans="1:7" x14ac:dyDescent="0.25">
      <c r="B11" s="60" t="s">
        <v>45</v>
      </c>
      <c r="C11" s="71">
        <v>1.5</v>
      </c>
      <c r="E11" s="63"/>
      <c r="F11" s="63"/>
    </row>
    <row r="12" spans="1:7" x14ac:dyDescent="0.25">
      <c r="B12" s="60" t="s">
        <v>41</v>
      </c>
      <c r="C12" s="71">
        <v>0.5</v>
      </c>
      <c r="D12" s="63"/>
      <c r="E12" s="63"/>
      <c r="F12" s="63"/>
    </row>
    <row r="13" spans="1:7" x14ac:dyDescent="0.25">
      <c r="B13" s="60" t="s">
        <v>42</v>
      </c>
      <c r="C13" s="61">
        <v>1000</v>
      </c>
      <c r="D13" s="63"/>
      <c r="E13" s="63"/>
      <c r="F13" s="63"/>
    </row>
    <row r="14" spans="1:7" x14ac:dyDescent="0.25">
      <c r="B14" s="60" t="s">
        <v>61</v>
      </c>
      <c r="C14" s="61">
        <v>300</v>
      </c>
      <c r="D14" s="63"/>
      <c r="E14" s="63"/>
      <c r="F14" s="63"/>
    </row>
    <row r="15" spans="1:7" ht="18.95" customHeight="1" x14ac:dyDescent="0.25">
      <c r="B15" s="136" t="s">
        <v>98</v>
      </c>
      <c r="C15" s="136"/>
      <c r="D15" s="136"/>
      <c r="E15" s="136"/>
      <c r="F15" s="111"/>
    </row>
    <row r="16" spans="1:7" ht="18.95" customHeight="1" x14ac:dyDescent="0.25">
      <c r="B16" s="60" t="s">
        <v>99</v>
      </c>
      <c r="C16" s="61">
        <v>20000</v>
      </c>
      <c r="D16" s="137" t="s">
        <v>100</v>
      </c>
      <c r="E16" s="137"/>
      <c r="F16" s="63"/>
    </row>
    <row r="17" spans="2:6" ht="18.95" customHeight="1" x14ac:dyDescent="0.25">
      <c r="B17" s="60" t="s">
        <v>101</v>
      </c>
      <c r="C17" s="98">
        <v>0.01</v>
      </c>
      <c r="D17" s="137" t="s">
        <v>102</v>
      </c>
      <c r="E17" s="137"/>
      <c r="F17" s="63"/>
    </row>
    <row r="18" spans="2:6" ht="18.95" customHeight="1" x14ac:dyDescent="0.25">
      <c r="B18" s="136" t="s">
        <v>103</v>
      </c>
      <c r="C18" s="136"/>
      <c r="D18" s="136"/>
      <c r="E18" s="136"/>
      <c r="F18" s="111"/>
    </row>
    <row r="19" spans="2:6" x14ac:dyDescent="0.25">
      <c r="B19" s="60" t="s">
        <v>104</v>
      </c>
      <c r="C19" s="99">
        <f>1/3</f>
        <v>0.33333333333333331</v>
      </c>
      <c r="D19" s="62"/>
      <c r="E19" s="63"/>
      <c r="F19" s="63"/>
    </row>
    <row r="20" spans="2:6" x14ac:dyDescent="0.25">
      <c r="B20" s="60"/>
      <c r="C20" s="99"/>
      <c r="D20" s="62"/>
      <c r="E20" s="63"/>
      <c r="F20" s="63"/>
    </row>
    <row r="21" spans="2:6" x14ac:dyDescent="0.25">
      <c r="B21" s="60"/>
      <c r="C21" s="73"/>
      <c r="D21" s="63"/>
      <c r="E21" s="63"/>
      <c r="F21" s="63"/>
    </row>
    <row r="22" spans="2:6" x14ac:dyDescent="0.25">
      <c r="B22" s="134" t="s">
        <v>23</v>
      </c>
      <c r="C22" s="134"/>
      <c r="D22" s="63"/>
    </row>
    <row r="23" spans="2:6" ht="6" customHeight="1" x14ac:dyDescent="0.25">
      <c r="D23" s="63"/>
    </row>
    <row r="24" spans="2:6" x14ac:dyDescent="0.25">
      <c r="B24" s="74" t="s">
        <v>25</v>
      </c>
      <c r="C24" s="75">
        <v>1.5</v>
      </c>
      <c r="D24" s="63"/>
    </row>
    <row r="25" spans="2:6" x14ac:dyDescent="0.25">
      <c r="B25" s="76" t="s">
        <v>26</v>
      </c>
      <c r="C25" s="77">
        <v>0.5</v>
      </c>
      <c r="D25" s="63"/>
    </row>
    <row r="26" spans="2:6" x14ac:dyDescent="0.25">
      <c r="B26" s="78" t="s">
        <v>0</v>
      </c>
      <c r="C26" s="79">
        <f>C25+C24</f>
        <v>2</v>
      </c>
      <c r="D26" s="63"/>
    </row>
    <row r="27" spans="2:6" x14ac:dyDescent="0.25">
      <c r="D27" s="63"/>
      <c r="E27" s="63"/>
      <c r="F27" s="63"/>
    </row>
    <row r="28" spans="2:6" x14ac:dyDescent="0.25">
      <c r="D28" s="63"/>
      <c r="E28" s="63"/>
      <c r="F28" s="63"/>
    </row>
    <row r="29" spans="2:6" x14ac:dyDescent="0.25">
      <c r="B29" s="135" t="s">
        <v>24</v>
      </c>
      <c r="C29" s="135"/>
      <c r="D29" s="63"/>
    </row>
    <row r="30" spans="2:6" ht="6" customHeight="1" x14ac:dyDescent="0.25">
      <c r="D30" s="63"/>
    </row>
    <row r="31" spans="2:6" ht="18.95" customHeight="1" x14ac:dyDescent="0.25">
      <c r="B31" s="74" t="s">
        <v>27</v>
      </c>
      <c r="C31" s="80">
        <f>C6*C8</f>
        <v>50000</v>
      </c>
      <c r="D31" s="63"/>
    </row>
    <row r="32" spans="2:6" ht="18.95" customHeight="1" x14ac:dyDescent="0.25">
      <c r="B32" s="85" t="s">
        <v>48</v>
      </c>
      <c r="C32" s="83">
        <f>C26*C6</f>
        <v>10000</v>
      </c>
      <c r="D32" s="63"/>
    </row>
    <row r="33" spans="2:4" ht="18.95" customHeight="1" x14ac:dyDescent="0.25">
      <c r="B33" s="102" t="s">
        <v>113</v>
      </c>
      <c r="C33" s="103">
        <f>C31-C32</f>
        <v>40000</v>
      </c>
      <c r="D33" s="63"/>
    </row>
    <row r="34" spans="2:4" ht="18.95" customHeight="1" x14ac:dyDescent="0.25">
      <c r="B34" s="85" t="s">
        <v>47</v>
      </c>
      <c r="C34" s="83">
        <f>C13</f>
        <v>1000</v>
      </c>
      <c r="D34" s="63"/>
    </row>
    <row r="35" spans="2:4" ht="18.95" customHeight="1" x14ac:dyDescent="0.25">
      <c r="B35" s="85" t="s">
        <v>63</v>
      </c>
      <c r="C35" s="83">
        <f>C14</f>
        <v>300</v>
      </c>
      <c r="D35" s="63"/>
    </row>
    <row r="36" spans="2:4" ht="18.95" customHeight="1" x14ac:dyDescent="0.25">
      <c r="B36" s="102" t="s">
        <v>114</v>
      </c>
      <c r="C36" s="83">
        <f>C33-C34-C35</f>
        <v>38700</v>
      </c>
      <c r="D36" s="63"/>
    </row>
    <row r="37" spans="2:4" ht="18.95" customHeight="1" x14ac:dyDescent="0.25">
      <c r="B37" s="85" t="s">
        <v>64</v>
      </c>
      <c r="C37" s="83">
        <f>1000</f>
        <v>1000</v>
      </c>
      <c r="D37" s="63"/>
    </row>
    <row r="38" spans="2:4" ht="18.95" customHeight="1" x14ac:dyDescent="0.25">
      <c r="B38" s="102" t="s">
        <v>115</v>
      </c>
      <c r="C38" s="103">
        <f>C36-C37</f>
        <v>37700</v>
      </c>
      <c r="D38" s="63"/>
    </row>
    <row r="39" spans="2:4" ht="18.95" customHeight="1" x14ac:dyDescent="0.25">
      <c r="B39" s="85" t="s">
        <v>105</v>
      </c>
      <c r="C39" s="83">
        <f>C16*C17</f>
        <v>200</v>
      </c>
      <c r="D39" s="63"/>
    </row>
    <row r="40" spans="2:4" ht="18.95" customHeight="1" x14ac:dyDescent="0.25">
      <c r="B40" s="101" t="s">
        <v>116</v>
      </c>
      <c r="C40" s="103">
        <f>C38-C39</f>
        <v>37500</v>
      </c>
      <c r="D40" s="63"/>
    </row>
    <row r="41" spans="2:4" ht="18.95" customHeight="1" x14ac:dyDescent="0.25">
      <c r="B41" s="85" t="s">
        <v>106</v>
      </c>
      <c r="C41" s="83">
        <f>C40*C19</f>
        <v>12500</v>
      </c>
      <c r="D41" s="63"/>
    </row>
    <row r="42" spans="2:4" ht="18.95" customHeight="1" x14ac:dyDescent="0.25">
      <c r="B42" s="106" t="s">
        <v>117</v>
      </c>
      <c r="C42" s="107">
        <f>C40-C41</f>
        <v>25000</v>
      </c>
      <c r="D42" s="63"/>
    </row>
    <row r="43" spans="2:4" ht="18.95" customHeight="1" x14ac:dyDescent="0.25">
      <c r="C43" s="104"/>
      <c r="D43" s="63"/>
    </row>
    <row r="44" spans="2:4" ht="18.95" customHeight="1" x14ac:dyDescent="0.25">
      <c r="C44" s="104"/>
      <c r="D44" s="63"/>
    </row>
    <row r="45" spans="2:4" ht="18.95" customHeight="1" x14ac:dyDescent="0.25">
      <c r="B45" s="134" t="s">
        <v>128</v>
      </c>
      <c r="C45" s="134"/>
      <c r="D45" s="63"/>
    </row>
    <row r="46" spans="2:4" ht="6" customHeight="1" x14ac:dyDescent="0.25">
      <c r="D46" s="63"/>
    </row>
    <row r="47" spans="2:4" ht="18.95" customHeight="1" x14ac:dyDescent="0.25">
      <c r="B47" s="78" t="s">
        <v>6</v>
      </c>
      <c r="C47" s="81">
        <f>April!F40</f>
        <v>4400</v>
      </c>
      <c r="D47" s="63"/>
    </row>
    <row r="48" spans="2:4" ht="6" customHeight="1" x14ac:dyDescent="0.25">
      <c r="D48" s="63"/>
    </row>
    <row r="49" spans="2:8" ht="18.95" customHeight="1" x14ac:dyDescent="0.25">
      <c r="B49" s="74" t="s">
        <v>118</v>
      </c>
      <c r="C49" s="80">
        <f>0</f>
        <v>0</v>
      </c>
      <c r="D49" s="63"/>
    </row>
    <row r="50" spans="2:8" x14ac:dyDescent="0.25">
      <c r="B50" s="85" t="s">
        <v>119</v>
      </c>
      <c r="C50" s="83">
        <f>0</f>
        <v>0</v>
      </c>
      <c r="D50" s="63"/>
    </row>
    <row r="51" spans="2:8" x14ac:dyDescent="0.25">
      <c r="B51" s="85" t="s">
        <v>120</v>
      </c>
      <c r="C51" s="83">
        <f>-C5/2</f>
        <v>-4000</v>
      </c>
      <c r="D51" s="63"/>
    </row>
    <row r="52" spans="2:8" x14ac:dyDescent="0.25">
      <c r="B52" s="85" t="s">
        <v>121</v>
      </c>
      <c r="C52" s="83">
        <f>-C25*C6</f>
        <v>-2500</v>
      </c>
      <c r="D52" s="63"/>
    </row>
    <row r="53" spans="2:8" x14ac:dyDescent="0.25">
      <c r="B53" s="85" t="s">
        <v>47</v>
      </c>
      <c r="C53" s="83">
        <f>-C13</f>
        <v>-1000</v>
      </c>
      <c r="D53" s="63"/>
    </row>
    <row r="54" spans="2:8" x14ac:dyDescent="0.25">
      <c r="B54" s="85" t="s">
        <v>63</v>
      </c>
      <c r="C54" s="83">
        <f>-C14</f>
        <v>-300</v>
      </c>
      <c r="D54" s="63"/>
    </row>
    <row r="55" spans="2:8" x14ac:dyDescent="0.25">
      <c r="B55" s="85" t="s">
        <v>105</v>
      </c>
      <c r="C55" s="83">
        <f>-C39</f>
        <v>-200</v>
      </c>
      <c r="D55" s="63"/>
    </row>
    <row r="56" spans="2:8" x14ac:dyDescent="0.25">
      <c r="B56" s="85" t="s">
        <v>106</v>
      </c>
      <c r="C56" s="83">
        <f>-C41</f>
        <v>-12500</v>
      </c>
      <c r="D56" s="63"/>
    </row>
    <row r="57" spans="2:8" ht="17.100000000000001" customHeight="1" x14ac:dyDescent="0.25">
      <c r="B57" s="106" t="s">
        <v>123</v>
      </c>
      <c r="C57" s="107">
        <f>SUM(C49:C56)</f>
        <v>-20500</v>
      </c>
      <c r="D57" s="63"/>
    </row>
    <row r="58" spans="2:8" ht="6" customHeight="1" x14ac:dyDescent="0.25">
      <c r="D58" s="63"/>
    </row>
    <row r="59" spans="2:8" x14ac:dyDescent="0.25">
      <c r="B59" s="109"/>
      <c r="C59" s="80"/>
      <c r="D59" s="63"/>
    </row>
    <row r="60" spans="2:8" ht="17.100000000000001" customHeight="1" x14ac:dyDescent="0.25">
      <c r="B60" s="106" t="s">
        <v>124</v>
      </c>
      <c r="C60" s="107">
        <v>0</v>
      </c>
      <c r="D60" s="63"/>
    </row>
    <row r="61" spans="2:8" ht="6" customHeight="1" x14ac:dyDescent="0.25">
      <c r="D61" s="63"/>
    </row>
    <row r="62" spans="2:8" x14ac:dyDescent="0.25">
      <c r="B62" s="74" t="s">
        <v>125</v>
      </c>
      <c r="C62" s="80">
        <f>C16</f>
        <v>20000</v>
      </c>
      <c r="D62" s="63"/>
    </row>
    <row r="63" spans="2:8" x14ac:dyDescent="0.25">
      <c r="B63" s="106" t="s">
        <v>126</v>
      </c>
      <c r="C63" s="107">
        <f>C62</f>
        <v>20000</v>
      </c>
      <c r="D63" s="63"/>
    </row>
    <row r="64" spans="2:8" ht="6" customHeight="1" x14ac:dyDescent="0.25">
      <c r="D64" s="63"/>
    </row>
    <row r="65" spans="2:6" x14ac:dyDescent="0.25">
      <c r="B65" s="78" t="s">
        <v>127</v>
      </c>
      <c r="C65" s="81">
        <f>C63+C57</f>
        <v>-500</v>
      </c>
      <c r="D65" s="63"/>
    </row>
    <row r="66" spans="2:6" ht="6" customHeight="1" x14ac:dyDescent="0.25">
      <c r="D66" s="63"/>
    </row>
    <row r="67" spans="2:6" x14ac:dyDescent="0.25">
      <c r="B67" s="78" t="s">
        <v>11</v>
      </c>
      <c r="C67" s="81">
        <f>C47+C65</f>
        <v>3900</v>
      </c>
      <c r="D67" s="63"/>
    </row>
    <row r="68" spans="2:6" x14ac:dyDescent="0.25">
      <c r="C68" s="108"/>
      <c r="D68" s="63"/>
      <c r="E68" s="90"/>
      <c r="F68" s="105"/>
    </row>
    <row r="69" spans="2:6" x14ac:dyDescent="0.25">
      <c r="D69" s="63"/>
      <c r="E69" s="63"/>
      <c r="F69" s="63"/>
    </row>
    <row r="70" spans="2:6" x14ac:dyDescent="0.25">
      <c r="B70" s="134" t="s">
        <v>12</v>
      </c>
      <c r="C70" s="134"/>
      <c r="D70" s="134"/>
      <c r="E70" s="134"/>
      <c r="F70" s="134"/>
    </row>
    <row r="71" spans="2:6" ht="6" customHeight="1" x14ac:dyDescent="0.25"/>
    <row r="72" spans="2:6" x14ac:dyDescent="0.25">
      <c r="B72" s="131" t="s">
        <v>13</v>
      </c>
      <c r="C72" s="132"/>
      <c r="D72" s="90"/>
      <c r="E72" s="131" t="s">
        <v>68</v>
      </c>
      <c r="F72" s="132"/>
    </row>
    <row r="73" spans="2:6" x14ac:dyDescent="0.25">
      <c r="B73" s="92" t="s">
        <v>69</v>
      </c>
      <c r="C73" s="93"/>
      <c r="D73" s="90"/>
      <c r="E73" s="94" t="s">
        <v>8</v>
      </c>
      <c r="F73" s="93"/>
    </row>
    <row r="74" spans="2:6" x14ac:dyDescent="0.25">
      <c r="B74" s="95" t="s">
        <v>70</v>
      </c>
      <c r="C74" s="93"/>
      <c r="D74" s="90"/>
      <c r="E74" s="96" t="s">
        <v>74</v>
      </c>
      <c r="F74" s="93"/>
    </row>
    <row r="75" spans="2:6" x14ac:dyDescent="0.25">
      <c r="B75" s="97" t="s">
        <v>71</v>
      </c>
      <c r="C75" s="83"/>
      <c r="D75" s="90"/>
      <c r="E75" s="96" t="s">
        <v>75</v>
      </c>
      <c r="F75" s="93"/>
    </row>
    <row r="76" spans="2:6" x14ac:dyDescent="0.25">
      <c r="B76" s="82" t="s">
        <v>14</v>
      </c>
      <c r="C76" s="83"/>
      <c r="E76" s="82" t="s">
        <v>72</v>
      </c>
      <c r="F76" s="83"/>
    </row>
    <row r="77" spans="2:6" x14ac:dyDescent="0.25">
      <c r="B77" s="100" t="s">
        <v>107</v>
      </c>
      <c r="C77" s="83"/>
      <c r="E77" s="82"/>
      <c r="F77" s="83"/>
    </row>
    <row r="78" spans="2:6" x14ac:dyDescent="0.25">
      <c r="B78" s="100" t="s">
        <v>108</v>
      </c>
      <c r="C78" s="83"/>
      <c r="E78" s="82" t="s">
        <v>109</v>
      </c>
      <c r="F78" s="83"/>
    </row>
    <row r="79" spans="2:6" x14ac:dyDescent="0.25">
      <c r="B79" s="82" t="s">
        <v>110</v>
      </c>
      <c r="C79" s="83"/>
      <c r="D79" s="90"/>
      <c r="E79" s="82"/>
      <c r="F79" s="83"/>
    </row>
    <row r="80" spans="2:6" x14ac:dyDescent="0.25">
      <c r="B80" s="82" t="s">
        <v>15</v>
      </c>
      <c r="C80" s="83"/>
      <c r="D80" s="90"/>
      <c r="E80" s="76" t="s">
        <v>111</v>
      </c>
      <c r="F80" s="83"/>
    </row>
    <row r="81" spans="2:6" x14ac:dyDescent="0.25">
      <c r="B81" s="78" t="s">
        <v>16</v>
      </c>
      <c r="C81" s="81"/>
      <c r="E81" s="78" t="s">
        <v>19</v>
      </c>
      <c r="F81" s="81"/>
    </row>
  </sheetData>
  <mergeCells count="11">
    <mergeCell ref="B22:C22"/>
    <mergeCell ref="A1:G1"/>
    <mergeCell ref="B15:E15"/>
    <mergeCell ref="D16:E16"/>
    <mergeCell ref="D17:E17"/>
    <mergeCell ref="B18:E18"/>
    <mergeCell ref="B29:C29"/>
    <mergeCell ref="B45:C45"/>
    <mergeCell ref="B70:F70"/>
    <mergeCell ref="B72:C72"/>
    <mergeCell ref="E72:F72"/>
  </mergeCells>
  <pageMargins left="0.7" right="0.7" top="0.75" bottom="0.75" header="0.3" footer="0.3"/>
  <pageSetup paperSize="9" scale="52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56FD-AA06-D144-8443-1D1841D99617}">
  <sheetPr>
    <pageSetUpPr fitToPage="1"/>
  </sheetPr>
  <dimension ref="A1:I81"/>
  <sheetViews>
    <sheetView topLeftCell="A32" zoomScaleNormal="100" workbookViewId="0">
      <selection activeCell="C57" sqref="C57"/>
    </sheetView>
  </sheetViews>
  <sheetFormatPr baseColWidth="10" defaultColWidth="10.875" defaultRowHeight="18.75" x14ac:dyDescent="0.25"/>
  <cols>
    <col min="1" max="1" width="3.625" style="57" customWidth="1"/>
    <col min="2" max="2" width="35" style="57" customWidth="1"/>
    <col min="3" max="3" width="17.375" style="57" customWidth="1"/>
    <col min="4" max="4" width="4.875" style="57" customWidth="1"/>
    <col min="5" max="5" width="35" style="57" customWidth="1"/>
    <col min="6" max="6" width="17.5" style="57" customWidth="1"/>
    <col min="7" max="7" width="3.625" style="57" customWidth="1"/>
    <col min="8" max="8" width="28.625" style="57" customWidth="1"/>
    <col min="9" max="16384" width="10.875" style="57"/>
  </cols>
  <sheetData>
    <row r="1" spans="1:7" ht="23.25" x14ac:dyDescent="0.25">
      <c r="A1" s="133" t="s">
        <v>112</v>
      </c>
      <c r="B1" s="133"/>
      <c r="C1" s="133"/>
      <c r="D1" s="133"/>
      <c r="E1" s="133"/>
      <c r="F1" s="133"/>
      <c r="G1" s="133"/>
    </row>
    <row r="4" spans="1:7" x14ac:dyDescent="0.25">
      <c r="B4" s="57" t="s">
        <v>86</v>
      </c>
      <c r="C4" s="58"/>
      <c r="F4" s="59"/>
    </row>
    <row r="5" spans="1:7" x14ac:dyDescent="0.25">
      <c r="B5" s="60" t="s">
        <v>39</v>
      </c>
      <c r="C5" s="61">
        <v>8000</v>
      </c>
      <c r="D5" s="62" t="s">
        <v>94</v>
      </c>
      <c r="E5" s="63"/>
      <c r="F5" s="63"/>
    </row>
    <row r="6" spans="1:7" x14ac:dyDescent="0.25">
      <c r="B6" s="57" t="s">
        <v>78</v>
      </c>
      <c r="C6" s="64">
        <v>5000</v>
      </c>
      <c r="D6" s="57" t="s">
        <v>87</v>
      </c>
    </row>
    <row r="7" spans="1:7" x14ac:dyDescent="0.25">
      <c r="B7" s="57" t="s">
        <v>95</v>
      </c>
      <c r="C7" s="64"/>
    </row>
    <row r="8" spans="1:7" x14ac:dyDescent="0.25">
      <c r="B8" s="65" t="s">
        <v>89</v>
      </c>
      <c r="C8" s="66">
        <v>10</v>
      </c>
    </row>
    <row r="9" spans="1:7" x14ac:dyDescent="0.25">
      <c r="B9" s="67" t="s">
        <v>96</v>
      </c>
      <c r="C9" s="68">
        <v>60</v>
      </c>
    </row>
    <row r="10" spans="1:7" x14ac:dyDescent="0.25">
      <c r="B10" s="69" t="s">
        <v>97</v>
      </c>
      <c r="C10" s="70"/>
    </row>
    <row r="11" spans="1:7" x14ac:dyDescent="0.25">
      <c r="B11" s="60" t="s">
        <v>45</v>
      </c>
      <c r="C11" s="71">
        <v>1.5</v>
      </c>
      <c r="E11" s="63"/>
      <c r="F11" s="63"/>
    </row>
    <row r="12" spans="1:7" x14ac:dyDescent="0.25">
      <c r="B12" s="60" t="s">
        <v>41</v>
      </c>
      <c r="C12" s="71">
        <v>0.5</v>
      </c>
      <c r="D12" s="63"/>
      <c r="E12" s="63"/>
      <c r="F12" s="63"/>
    </row>
    <row r="13" spans="1:7" x14ac:dyDescent="0.25">
      <c r="B13" s="60" t="s">
        <v>42</v>
      </c>
      <c r="C13" s="61">
        <v>1000</v>
      </c>
      <c r="D13" s="63"/>
      <c r="E13" s="63"/>
      <c r="F13" s="63"/>
    </row>
    <row r="14" spans="1:7" x14ac:dyDescent="0.25">
      <c r="B14" s="60" t="s">
        <v>61</v>
      </c>
      <c r="C14" s="61">
        <v>300</v>
      </c>
      <c r="D14" s="63"/>
      <c r="E14" s="63"/>
      <c r="F14" s="63"/>
    </row>
    <row r="15" spans="1:7" ht="18.95" customHeight="1" x14ac:dyDescent="0.25">
      <c r="B15" s="136" t="s">
        <v>98</v>
      </c>
      <c r="C15" s="136"/>
      <c r="D15" s="136"/>
      <c r="E15" s="136"/>
      <c r="F15" s="111"/>
    </row>
    <row r="16" spans="1:7" ht="18.95" customHeight="1" x14ac:dyDescent="0.25">
      <c r="B16" s="60" t="s">
        <v>99</v>
      </c>
      <c r="C16" s="61">
        <v>20000</v>
      </c>
      <c r="D16" s="137" t="s">
        <v>100</v>
      </c>
      <c r="E16" s="137"/>
      <c r="F16" s="63"/>
    </row>
    <row r="17" spans="2:6" ht="18.95" customHeight="1" x14ac:dyDescent="0.25">
      <c r="B17" s="60" t="s">
        <v>101</v>
      </c>
      <c r="C17" s="98">
        <v>0.01</v>
      </c>
      <c r="D17" s="137" t="s">
        <v>102</v>
      </c>
      <c r="E17" s="137"/>
      <c r="F17" s="63"/>
    </row>
    <row r="18" spans="2:6" ht="18.95" customHeight="1" x14ac:dyDescent="0.25">
      <c r="B18" s="136" t="s">
        <v>103</v>
      </c>
      <c r="C18" s="136"/>
      <c r="D18" s="136"/>
      <c r="E18" s="136"/>
      <c r="F18" s="111"/>
    </row>
    <row r="19" spans="2:6" x14ac:dyDescent="0.25">
      <c r="B19" s="60" t="s">
        <v>104</v>
      </c>
      <c r="C19" s="99">
        <f>1/3</f>
        <v>0.33333333333333331</v>
      </c>
      <c r="D19" s="62"/>
      <c r="E19" s="63"/>
      <c r="F19" s="63"/>
    </row>
    <row r="20" spans="2:6" x14ac:dyDescent="0.25">
      <c r="B20" s="60"/>
      <c r="C20" s="99"/>
      <c r="D20" s="62"/>
      <c r="E20" s="63"/>
      <c r="F20" s="63"/>
    </row>
    <row r="21" spans="2:6" x14ac:dyDescent="0.25">
      <c r="B21" s="60"/>
      <c r="C21" s="73"/>
      <c r="D21" s="63"/>
      <c r="E21" s="63"/>
      <c r="F21" s="63"/>
    </row>
    <row r="22" spans="2:6" x14ac:dyDescent="0.25">
      <c r="B22" s="134" t="s">
        <v>23</v>
      </c>
      <c r="C22" s="134"/>
      <c r="D22" s="63"/>
    </row>
    <row r="23" spans="2:6" ht="6" customHeight="1" x14ac:dyDescent="0.25">
      <c r="D23" s="63"/>
    </row>
    <row r="24" spans="2:6" x14ac:dyDescent="0.25">
      <c r="B24" s="74" t="s">
        <v>25</v>
      </c>
      <c r="C24" s="75">
        <f>C11</f>
        <v>1.5</v>
      </c>
      <c r="D24" s="63"/>
    </row>
    <row r="25" spans="2:6" x14ac:dyDescent="0.25">
      <c r="B25" s="76" t="s">
        <v>26</v>
      </c>
      <c r="C25" s="77">
        <f>C12</f>
        <v>0.5</v>
      </c>
      <c r="D25" s="63"/>
    </row>
    <row r="26" spans="2:6" x14ac:dyDescent="0.25">
      <c r="B26" s="78" t="s">
        <v>0</v>
      </c>
      <c r="C26" s="79">
        <f>C24+C25</f>
        <v>2</v>
      </c>
      <c r="D26" s="63"/>
    </row>
    <row r="27" spans="2:6" x14ac:dyDescent="0.25">
      <c r="D27" s="63"/>
      <c r="E27" s="63"/>
      <c r="F27" s="63"/>
    </row>
    <row r="28" spans="2:6" x14ac:dyDescent="0.25">
      <c r="D28" s="63"/>
      <c r="E28" s="63"/>
      <c r="F28" s="63"/>
    </row>
    <row r="29" spans="2:6" x14ac:dyDescent="0.25">
      <c r="B29" s="135" t="s">
        <v>24</v>
      </c>
      <c r="C29" s="135"/>
      <c r="D29" s="63"/>
    </row>
    <row r="30" spans="2:6" ht="6" customHeight="1" x14ac:dyDescent="0.25">
      <c r="D30" s="63"/>
    </row>
    <row r="31" spans="2:6" ht="18.95" customHeight="1" x14ac:dyDescent="0.25">
      <c r="B31" s="74" t="s">
        <v>27</v>
      </c>
      <c r="C31" s="80">
        <f>C6*C8</f>
        <v>50000</v>
      </c>
      <c r="D31" s="63"/>
    </row>
    <row r="32" spans="2:6" ht="18.95" customHeight="1" x14ac:dyDescent="0.25">
      <c r="B32" s="85" t="s">
        <v>48</v>
      </c>
      <c r="C32" s="83">
        <f>-C26*C6</f>
        <v>-10000</v>
      </c>
      <c r="D32" s="63"/>
    </row>
    <row r="33" spans="2:9" ht="18.95" customHeight="1" x14ac:dyDescent="0.25">
      <c r="B33" s="102" t="s">
        <v>113</v>
      </c>
      <c r="C33" s="103">
        <f>C31+C32</f>
        <v>40000</v>
      </c>
      <c r="D33" s="63"/>
    </row>
    <row r="34" spans="2:9" ht="18.95" customHeight="1" x14ac:dyDescent="0.25">
      <c r="B34" s="85" t="s">
        <v>47</v>
      </c>
      <c r="C34" s="83">
        <f>-C13</f>
        <v>-1000</v>
      </c>
      <c r="D34" s="63"/>
    </row>
    <row r="35" spans="2:9" ht="18.95" customHeight="1" x14ac:dyDescent="0.25">
      <c r="B35" s="85" t="s">
        <v>63</v>
      </c>
      <c r="C35" s="83">
        <f>-C14</f>
        <v>-300</v>
      </c>
      <c r="D35" s="63"/>
    </row>
    <row r="36" spans="2:9" ht="18.95" customHeight="1" x14ac:dyDescent="0.25">
      <c r="B36" s="102" t="s">
        <v>114</v>
      </c>
      <c r="C36" s="83">
        <f>SUM(C33:C35)</f>
        <v>38700</v>
      </c>
      <c r="D36" s="63"/>
    </row>
    <row r="37" spans="2:9" ht="18.95" customHeight="1" x14ac:dyDescent="0.25">
      <c r="B37" s="85" t="s">
        <v>64</v>
      </c>
      <c r="C37" s="83">
        <f>April!C33</f>
        <v>-1000</v>
      </c>
      <c r="D37" s="63"/>
    </row>
    <row r="38" spans="2:9" ht="18.95" customHeight="1" x14ac:dyDescent="0.25">
      <c r="B38" s="102" t="s">
        <v>115</v>
      </c>
      <c r="C38" s="103">
        <f>C36+C37</f>
        <v>37700</v>
      </c>
      <c r="D38" s="63"/>
    </row>
    <row r="39" spans="2:9" ht="18.95" customHeight="1" x14ac:dyDescent="0.25">
      <c r="B39" s="85" t="s">
        <v>105</v>
      </c>
      <c r="C39" s="83">
        <f>-C16*C17</f>
        <v>-200</v>
      </c>
      <c r="D39" s="63"/>
    </row>
    <row r="40" spans="2:9" ht="18.95" customHeight="1" x14ac:dyDescent="0.25">
      <c r="B40" s="101" t="s">
        <v>116</v>
      </c>
      <c r="C40" s="103">
        <f>C38+C39</f>
        <v>37500</v>
      </c>
      <c r="D40" s="63"/>
    </row>
    <row r="41" spans="2:9" ht="18.95" customHeight="1" x14ac:dyDescent="0.25">
      <c r="B41" s="85" t="s">
        <v>106</v>
      </c>
      <c r="C41" s="83">
        <f>-C19*C40</f>
        <v>-12500</v>
      </c>
      <c r="D41" s="63"/>
    </row>
    <row r="42" spans="2:9" ht="18.95" customHeight="1" x14ac:dyDescent="0.25">
      <c r="B42" s="106" t="s">
        <v>117</v>
      </c>
      <c r="C42" s="107">
        <f>C40+C41</f>
        <v>25000</v>
      </c>
      <c r="D42" s="63"/>
    </row>
    <row r="43" spans="2:9" ht="18.95" customHeight="1" x14ac:dyDescent="0.25">
      <c r="C43" s="104"/>
      <c r="D43" s="63"/>
    </row>
    <row r="44" spans="2:9" ht="18.95" customHeight="1" x14ac:dyDescent="0.25">
      <c r="C44" s="104"/>
      <c r="D44" s="63"/>
    </row>
    <row r="45" spans="2:9" ht="18.95" customHeight="1" x14ac:dyDescent="0.25">
      <c r="B45" s="134" t="s">
        <v>128</v>
      </c>
      <c r="C45" s="134"/>
      <c r="D45" s="63"/>
      <c r="E45" s="138" t="s">
        <v>129</v>
      </c>
      <c r="F45" s="138"/>
    </row>
    <row r="46" spans="2:9" ht="6" customHeight="1" x14ac:dyDescent="0.25">
      <c r="D46" s="63"/>
    </row>
    <row r="47" spans="2:9" ht="18.95" customHeight="1" x14ac:dyDescent="0.25">
      <c r="B47" s="78" t="s">
        <v>6</v>
      </c>
      <c r="C47" s="81">
        <f>April!C52</f>
        <v>4400</v>
      </c>
      <c r="D47" s="63"/>
      <c r="E47" s="78" t="s">
        <v>6</v>
      </c>
      <c r="F47" s="112"/>
      <c r="G47" s="113"/>
      <c r="H47" s="113"/>
      <c r="I47" s="113"/>
    </row>
    <row r="48" spans="2:9" ht="6" customHeight="1" x14ac:dyDescent="0.25">
      <c r="D48" s="63"/>
      <c r="F48" s="113"/>
      <c r="G48" s="113"/>
      <c r="H48" s="113"/>
      <c r="I48" s="113"/>
    </row>
    <row r="49" spans="2:9" ht="18.95" customHeight="1" x14ac:dyDescent="0.25">
      <c r="B49" s="74" t="s">
        <v>118</v>
      </c>
      <c r="C49" s="80">
        <v>0</v>
      </c>
      <c r="D49" s="63"/>
      <c r="E49" s="74" t="s">
        <v>135</v>
      </c>
      <c r="F49" s="114"/>
      <c r="G49" s="113"/>
      <c r="H49" s="115" t="s">
        <v>132</v>
      </c>
      <c r="I49" s="116"/>
    </row>
    <row r="50" spans="2:9" x14ac:dyDescent="0.25">
      <c r="B50" s="85" t="s">
        <v>119</v>
      </c>
      <c r="C50" s="83">
        <v>0</v>
      </c>
      <c r="D50" s="63"/>
      <c r="E50" s="85" t="s">
        <v>130</v>
      </c>
      <c r="F50" s="110"/>
      <c r="G50" s="113"/>
      <c r="H50" s="117" t="s">
        <v>133</v>
      </c>
      <c r="I50" s="118"/>
    </row>
    <row r="51" spans="2:9" x14ac:dyDescent="0.25">
      <c r="B51" s="85" t="s">
        <v>120</v>
      </c>
      <c r="C51" s="83">
        <f>-C5/2</f>
        <v>-4000</v>
      </c>
      <c r="D51" s="63"/>
      <c r="E51" s="85" t="s">
        <v>131</v>
      </c>
      <c r="F51" s="110"/>
      <c r="G51" s="113"/>
      <c r="H51" s="119" t="s">
        <v>134</v>
      </c>
      <c r="I51" s="120"/>
    </row>
    <row r="52" spans="2:9" x14ac:dyDescent="0.25">
      <c r="B52" s="85" t="s">
        <v>121</v>
      </c>
      <c r="C52" s="83">
        <f>-C25*C6</f>
        <v>-2500</v>
      </c>
      <c r="D52" s="63"/>
      <c r="E52" s="85" t="s">
        <v>105</v>
      </c>
      <c r="F52" s="110"/>
      <c r="G52" s="113"/>
      <c r="H52" s="113"/>
      <c r="I52" s="113"/>
    </row>
    <row r="53" spans="2:9" x14ac:dyDescent="0.25">
      <c r="B53" s="85" t="s">
        <v>47</v>
      </c>
      <c r="C53" s="83">
        <f>-C13</f>
        <v>-1000</v>
      </c>
      <c r="D53" s="63"/>
      <c r="E53" s="85" t="s">
        <v>122</v>
      </c>
      <c r="F53" s="110"/>
      <c r="G53" s="113"/>
      <c r="H53" s="113"/>
      <c r="I53" s="113"/>
    </row>
    <row r="54" spans="2:9" x14ac:dyDescent="0.25">
      <c r="B54" s="85" t="s">
        <v>63</v>
      </c>
      <c r="C54" s="83">
        <f>-C14</f>
        <v>-300</v>
      </c>
      <c r="D54" s="63"/>
      <c r="E54" s="85"/>
      <c r="F54" s="110"/>
      <c r="G54" s="113"/>
      <c r="H54" s="113"/>
      <c r="I54" s="113"/>
    </row>
    <row r="55" spans="2:9" x14ac:dyDescent="0.25">
      <c r="B55" s="85" t="s">
        <v>105</v>
      </c>
      <c r="C55" s="83">
        <f>C39</f>
        <v>-200</v>
      </c>
      <c r="D55" s="63"/>
      <c r="E55" s="85"/>
      <c r="F55" s="110"/>
      <c r="G55" s="113"/>
      <c r="H55" s="113"/>
      <c r="I55" s="113"/>
    </row>
    <row r="56" spans="2:9" x14ac:dyDescent="0.25">
      <c r="B56" s="85" t="s">
        <v>106</v>
      </c>
      <c r="C56" s="83">
        <f>C41</f>
        <v>-12500</v>
      </c>
      <c r="D56" s="63"/>
      <c r="E56" s="82"/>
      <c r="F56" s="121"/>
      <c r="G56" s="113"/>
      <c r="H56" s="113"/>
      <c r="I56" s="113"/>
    </row>
    <row r="57" spans="2:9" ht="17.100000000000001" customHeight="1" x14ac:dyDescent="0.25">
      <c r="B57" s="106" t="s">
        <v>123</v>
      </c>
      <c r="C57" s="107">
        <f>SUM(C49:C56)</f>
        <v>-20500</v>
      </c>
      <c r="D57" s="63"/>
      <c r="E57" s="106" t="s">
        <v>123</v>
      </c>
      <c r="F57" s="122"/>
      <c r="G57" s="113"/>
      <c r="H57" s="113"/>
      <c r="I57" s="113"/>
    </row>
    <row r="58" spans="2:9" ht="6" customHeight="1" x14ac:dyDescent="0.25">
      <c r="D58" s="63"/>
      <c r="F58" s="113"/>
      <c r="G58" s="113"/>
      <c r="H58" s="113"/>
      <c r="I58" s="113"/>
    </row>
    <row r="59" spans="2:9" x14ac:dyDescent="0.25">
      <c r="B59" s="109"/>
      <c r="C59" s="80"/>
      <c r="D59" s="63"/>
      <c r="E59" s="109"/>
      <c r="F59" s="114"/>
      <c r="G59" s="113"/>
      <c r="H59" s="113"/>
      <c r="I59" s="113"/>
    </row>
    <row r="60" spans="2:9" ht="17.100000000000001" customHeight="1" x14ac:dyDescent="0.25">
      <c r="B60" s="106" t="s">
        <v>124</v>
      </c>
      <c r="C60" s="107">
        <v>0</v>
      </c>
      <c r="D60" s="63"/>
      <c r="E60" s="106" t="s">
        <v>124</v>
      </c>
      <c r="F60" s="122"/>
      <c r="G60" s="113"/>
      <c r="H60" s="113"/>
      <c r="I60" s="113"/>
    </row>
    <row r="61" spans="2:9" ht="6" customHeight="1" x14ac:dyDescent="0.25">
      <c r="D61" s="63"/>
      <c r="F61" s="113"/>
      <c r="G61" s="113"/>
      <c r="H61" s="113"/>
      <c r="I61" s="113"/>
    </row>
    <row r="62" spans="2:9" x14ac:dyDescent="0.25">
      <c r="B62" s="74" t="s">
        <v>125</v>
      </c>
      <c r="C62" s="80">
        <f>C16</f>
        <v>20000</v>
      </c>
      <c r="D62" s="63"/>
      <c r="E62" s="74" t="s">
        <v>125</v>
      </c>
      <c r="F62" s="114"/>
      <c r="G62" s="113"/>
      <c r="H62" s="113"/>
      <c r="I62" s="113"/>
    </row>
    <row r="63" spans="2:9" x14ac:dyDescent="0.25">
      <c r="B63" s="106" t="s">
        <v>126</v>
      </c>
      <c r="C63" s="107">
        <f>C62</f>
        <v>20000</v>
      </c>
      <c r="D63" s="63"/>
      <c r="E63" s="106" t="s">
        <v>126</v>
      </c>
      <c r="F63" s="122"/>
      <c r="G63" s="113"/>
      <c r="H63" s="113"/>
      <c r="I63" s="113"/>
    </row>
    <row r="64" spans="2:9" ht="6" customHeight="1" x14ac:dyDescent="0.25">
      <c r="D64" s="63"/>
      <c r="F64" s="113"/>
      <c r="G64" s="113"/>
      <c r="H64" s="113"/>
      <c r="I64" s="113"/>
    </row>
    <row r="65" spans="2:9" x14ac:dyDescent="0.25">
      <c r="B65" s="78" t="s">
        <v>127</v>
      </c>
      <c r="C65" s="81">
        <f>C57+C60+C63</f>
        <v>-500</v>
      </c>
      <c r="D65" s="63"/>
      <c r="E65" s="78" t="s">
        <v>127</v>
      </c>
      <c r="F65" s="112"/>
      <c r="G65" s="113"/>
      <c r="H65" s="113"/>
      <c r="I65" s="113"/>
    </row>
    <row r="66" spans="2:9" ht="6" customHeight="1" x14ac:dyDescent="0.25">
      <c r="D66" s="63"/>
      <c r="F66" s="113"/>
      <c r="G66" s="113"/>
      <c r="H66" s="113"/>
      <c r="I66" s="113"/>
    </row>
    <row r="67" spans="2:9" x14ac:dyDescent="0.25">
      <c r="B67" s="78" t="s">
        <v>11</v>
      </c>
      <c r="C67" s="81">
        <f>C47+C65</f>
        <v>3900</v>
      </c>
      <c r="D67" s="63"/>
      <c r="E67" s="78" t="s">
        <v>11</v>
      </c>
      <c r="F67" s="112"/>
      <c r="G67" s="113"/>
      <c r="H67" s="113"/>
      <c r="I67" s="113"/>
    </row>
    <row r="68" spans="2:9" x14ac:dyDescent="0.25">
      <c r="C68" s="108"/>
      <c r="D68" s="63"/>
      <c r="E68" s="90"/>
      <c r="F68" s="105"/>
    </row>
    <row r="69" spans="2:9" x14ac:dyDescent="0.25">
      <c r="D69" s="63"/>
      <c r="E69" s="63"/>
      <c r="F69" s="63"/>
    </row>
    <row r="70" spans="2:9" x14ac:dyDescent="0.25">
      <c r="B70" s="134" t="s">
        <v>12</v>
      </c>
      <c r="C70" s="134"/>
      <c r="D70" s="134"/>
      <c r="E70" s="134"/>
      <c r="F70" s="134"/>
    </row>
    <row r="71" spans="2:9" ht="6" customHeight="1" x14ac:dyDescent="0.25"/>
    <row r="72" spans="2:9" x14ac:dyDescent="0.25">
      <c r="B72" s="131" t="s">
        <v>13</v>
      </c>
      <c r="C72" s="132"/>
      <c r="D72" s="90"/>
      <c r="E72" s="131" t="s">
        <v>68</v>
      </c>
      <c r="F72" s="132"/>
    </row>
    <row r="73" spans="2:9" x14ac:dyDescent="0.25">
      <c r="B73" s="92" t="s">
        <v>69</v>
      </c>
      <c r="C73" s="93">
        <f>April!C47</f>
        <v>36000</v>
      </c>
      <c r="D73" s="90"/>
      <c r="E73" s="94" t="s">
        <v>8</v>
      </c>
      <c r="F73" s="93">
        <f>April!F47</f>
        <v>5000</v>
      </c>
    </row>
    <row r="74" spans="2:9" x14ac:dyDescent="0.25">
      <c r="B74" s="95" t="s">
        <v>70</v>
      </c>
      <c r="C74" s="93">
        <f>April!C48+C37</f>
        <v>-3000</v>
      </c>
      <c r="D74" s="90"/>
      <c r="E74" s="96" t="s">
        <v>74</v>
      </c>
      <c r="F74" s="93">
        <f>April!F48+April!F49</f>
        <v>73400</v>
      </c>
    </row>
    <row r="75" spans="2:9" x14ac:dyDescent="0.25">
      <c r="B75" s="97" t="s">
        <v>71</v>
      </c>
      <c r="C75" s="83">
        <f>C73+C74</f>
        <v>33000</v>
      </c>
      <c r="D75" s="90"/>
      <c r="E75" s="96" t="s">
        <v>75</v>
      </c>
      <c r="F75" s="93">
        <f>C42</f>
        <v>25000</v>
      </c>
    </row>
    <row r="76" spans="2:9" x14ac:dyDescent="0.25">
      <c r="B76" s="82" t="s">
        <v>14</v>
      </c>
      <c r="C76" s="83">
        <f>April!C50+C5-C6*C24</f>
        <v>500</v>
      </c>
      <c r="E76" s="82" t="s">
        <v>72</v>
      </c>
      <c r="F76" s="83">
        <f>SUM(F73:F75)</f>
        <v>103400</v>
      </c>
    </row>
    <row r="77" spans="2:9" x14ac:dyDescent="0.25">
      <c r="B77" s="100" t="s">
        <v>107</v>
      </c>
      <c r="C77" s="83">
        <f>April!C51</f>
        <v>40000</v>
      </c>
      <c r="E77" s="82"/>
      <c r="F77" s="83"/>
    </row>
    <row r="78" spans="2:9" x14ac:dyDescent="0.25">
      <c r="B78" s="100" t="s">
        <v>108</v>
      </c>
      <c r="C78" s="83">
        <f>C31</f>
        <v>50000</v>
      </c>
      <c r="E78" s="82" t="s">
        <v>109</v>
      </c>
      <c r="F78" s="83">
        <f>C16</f>
        <v>20000</v>
      </c>
    </row>
    <row r="79" spans="2:9" x14ac:dyDescent="0.25">
      <c r="B79" s="82" t="s">
        <v>110</v>
      </c>
      <c r="C79" s="83">
        <f>C77+C78</f>
        <v>90000</v>
      </c>
      <c r="D79" s="90"/>
      <c r="E79" s="82"/>
      <c r="F79" s="83"/>
    </row>
    <row r="80" spans="2:9" x14ac:dyDescent="0.25">
      <c r="B80" s="82" t="s">
        <v>15</v>
      </c>
      <c r="C80" s="83">
        <f>C67</f>
        <v>3900</v>
      </c>
      <c r="D80" s="90"/>
      <c r="E80" s="76" t="s">
        <v>111</v>
      </c>
      <c r="F80" s="83">
        <f>C5/2</f>
        <v>4000</v>
      </c>
    </row>
    <row r="81" spans="2:6" x14ac:dyDescent="0.25">
      <c r="B81" s="78" t="s">
        <v>16</v>
      </c>
      <c r="C81" s="81">
        <f>C75+C76+C79+C80</f>
        <v>127400</v>
      </c>
      <c r="E81" s="78" t="s">
        <v>19</v>
      </c>
      <c r="F81" s="81">
        <f>F76+F78+F80</f>
        <v>127400</v>
      </c>
    </row>
  </sheetData>
  <mergeCells count="12">
    <mergeCell ref="B22:C22"/>
    <mergeCell ref="A1:G1"/>
    <mergeCell ref="B15:E15"/>
    <mergeCell ref="D16:E16"/>
    <mergeCell ref="D17:E17"/>
    <mergeCell ref="B18:E18"/>
    <mergeCell ref="B29:C29"/>
    <mergeCell ref="B45:C45"/>
    <mergeCell ref="E45:F45"/>
    <mergeCell ref="B70:F70"/>
    <mergeCell ref="B72:C72"/>
    <mergeCell ref="E72:F72"/>
  </mergeCells>
  <pageMargins left="0.7" right="0.7" top="0.75" bottom="0.75" header="0.3" footer="0.3"/>
  <pageSetup paperSize="9" scale="52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2C61-BC82-8140-A9BB-10CFD7DCCF80}">
  <sheetPr>
    <pageSetUpPr fitToPage="1"/>
  </sheetPr>
  <dimension ref="A1:I81"/>
  <sheetViews>
    <sheetView topLeftCell="A44" zoomScaleNormal="100" workbookViewId="0">
      <selection activeCell="E45" sqref="E45:I67"/>
    </sheetView>
  </sheetViews>
  <sheetFormatPr baseColWidth="10" defaultColWidth="10.875" defaultRowHeight="18.75" x14ac:dyDescent="0.25"/>
  <cols>
    <col min="1" max="1" width="3.625" style="57" customWidth="1"/>
    <col min="2" max="2" width="35" style="57" customWidth="1"/>
    <col min="3" max="3" width="17.375" style="57" customWidth="1"/>
    <col min="4" max="4" width="4.875" style="57" customWidth="1"/>
    <col min="5" max="5" width="35" style="57" customWidth="1"/>
    <col min="6" max="6" width="17.5" style="57" customWidth="1"/>
    <col min="7" max="7" width="3.625" style="57" customWidth="1"/>
    <col min="8" max="8" width="28.625" style="57" customWidth="1"/>
    <col min="9" max="16384" width="10.875" style="57"/>
  </cols>
  <sheetData>
    <row r="1" spans="1:7" ht="23.25" x14ac:dyDescent="0.25">
      <c r="A1" s="133" t="s">
        <v>112</v>
      </c>
      <c r="B1" s="133"/>
      <c r="C1" s="133"/>
      <c r="D1" s="133"/>
      <c r="E1" s="133"/>
      <c r="F1" s="133"/>
      <c r="G1" s="133"/>
    </row>
    <row r="4" spans="1:7" x14ac:dyDescent="0.25">
      <c r="B4" s="57" t="s">
        <v>86</v>
      </c>
      <c r="C4" s="58"/>
      <c r="F4" s="59"/>
    </row>
    <row r="5" spans="1:7" x14ac:dyDescent="0.25">
      <c r="B5" s="60" t="s">
        <v>39</v>
      </c>
      <c r="C5" s="61">
        <v>8000</v>
      </c>
      <c r="D5" s="62" t="s">
        <v>94</v>
      </c>
      <c r="E5" s="63"/>
      <c r="F5" s="63"/>
    </row>
    <row r="6" spans="1:7" x14ac:dyDescent="0.25">
      <c r="B6" s="57" t="s">
        <v>78</v>
      </c>
      <c r="C6" s="64">
        <v>5000</v>
      </c>
      <c r="D6" s="57" t="s">
        <v>87</v>
      </c>
    </row>
    <row r="7" spans="1:7" x14ac:dyDescent="0.25">
      <c r="B7" s="57" t="s">
        <v>95</v>
      </c>
      <c r="C7" s="64"/>
    </row>
    <row r="8" spans="1:7" x14ac:dyDescent="0.25">
      <c r="B8" s="65" t="s">
        <v>89</v>
      </c>
      <c r="C8" s="66">
        <v>10</v>
      </c>
    </row>
    <row r="9" spans="1:7" x14ac:dyDescent="0.25">
      <c r="B9" s="67" t="s">
        <v>96</v>
      </c>
      <c r="C9" s="68">
        <v>60</v>
      </c>
    </row>
    <row r="10" spans="1:7" x14ac:dyDescent="0.25">
      <c r="B10" s="69" t="s">
        <v>97</v>
      </c>
      <c r="C10" s="70"/>
    </row>
    <row r="11" spans="1:7" x14ac:dyDescent="0.25">
      <c r="B11" s="60" t="s">
        <v>45</v>
      </c>
      <c r="C11" s="71">
        <v>1.5</v>
      </c>
      <c r="E11" s="63"/>
      <c r="F11" s="63"/>
    </row>
    <row r="12" spans="1:7" x14ac:dyDescent="0.25">
      <c r="B12" s="60" t="s">
        <v>41</v>
      </c>
      <c r="C12" s="71">
        <v>0.5</v>
      </c>
      <c r="D12" s="63"/>
      <c r="E12" s="63"/>
      <c r="F12" s="63"/>
    </row>
    <row r="13" spans="1:7" x14ac:dyDescent="0.25">
      <c r="B13" s="60" t="s">
        <v>42</v>
      </c>
      <c r="C13" s="61">
        <v>1000</v>
      </c>
      <c r="D13" s="63"/>
      <c r="E13" s="63"/>
      <c r="F13" s="63"/>
    </row>
    <row r="14" spans="1:7" x14ac:dyDescent="0.25">
      <c r="B14" s="60" t="s">
        <v>61</v>
      </c>
      <c r="C14" s="61">
        <v>300</v>
      </c>
      <c r="D14" s="63"/>
      <c r="E14" s="63"/>
      <c r="F14" s="63"/>
    </row>
    <row r="15" spans="1:7" ht="18.95" customHeight="1" x14ac:dyDescent="0.25">
      <c r="B15" s="136" t="s">
        <v>98</v>
      </c>
      <c r="C15" s="136"/>
      <c r="D15" s="136"/>
      <c r="E15" s="136"/>
      <c r="F15" s="111"/>
    </row>
    <row r="16" spans="1:7" ht="18.95" customHeight="1" x14ac:dyDescent="0.25">
      <c r="B16" s="60" t="s">
        <v>99</v>
      </c>
      <c r="C16" s="61">
        <v>20000</v>
      </c>
      <c r="D16" s="137" t="s">
        <v>100</v>
      </c>
      <c r="E16" s="137"/>
      <c r="F16" s="63"/>
    </row>
    <row r="17" spans="2:6" ht="18.95" customHeight="1" x14ac:dyDescent="0.25">
      <c r="B17" s="60" t="s">
        <v>101</v>
      </c>
      <c r="C17" s="98">
        <v>0.01</v>
      </c>
      <c r="D17" s="137" t="s">
        <v>102</v>
      </c>
      <c r="E17" s="137"/>
      <c r="F17" s="63"/>
    </row>
    <row r="18" spans="2:6" ht="18.95" customHeight="1" x14ac:dyDescent="0.25">
      <c r="B18" s="136" t="s">
        <v>103</v>
      </c>
      <c r="C18" s="136"/>
      <c r="D18" s="136"/>
      <c r="E18" s="136"/>
      <c r="F18" s="111"/>
    </row>
    <row r="19" spans="2:6" x14ac:dyDescent="0.25">
      <c r="B19" s="60" t="s">
        <v>104</v>
      </c>
      <c r="C19" s="99">
        <f>1/3</f>
        <v>0.33333333333333331</v>
      </c>
      <c r="D19" s="62"/>
      <c r="E19" s="63"/>
      <c r="F19" s="63"/>
    </row>
    <row r="20" spans="2:6" x14ac:dyDescent="0.25">
      <c r="B20" s="60"/>
      <c r="C20" s="99"/>
      <c r="D20" s="62"/>
      <c r="E20" s="63"/>
      <c r="F20" s="63"/>
    </row>
    <row r="21" spans="2:6" x14ac:dyDescent="0.25">
      <c r="B21" s="60"/>
      <c r="C21" s="73"/>
      <c r="D21" s="63"/>
      <c r="E21" s="63"/>
      <c r="F21" s="63"/>
    </row>
    <row r="22" spans="2:6" x14ac:dyDescent="0.25">
      <c r="B22" s="134" t="s">
        <v>23</v>
      </c>
      <c r="C22" s="134"/>
      <c r="D22" s="63"/>
    </row>
    <row r="23" spans="2:6" ht="6" customHeight="1" x14ac:dyDescent="0.25">
      <c r="D23" s="63"/>
    </row>
    <row r="24" spans="2:6" x14ac:dyDescent="0.25">
      <c r="B24" s="74" t="s">
        <v>25</v>
      </c>
      <c r="C24" s="75">
        <f>C11</f>
        <v>1.5</v>
      </c>
      <c r="D24" s="63"/>
    </row>
    <row r="25" spans="2:6" x14ac:dyDescent="0.25">
      <c r="B25" s="76" t="s">
        <v>26</v>
      </c>
      <c r="C25" s="77">
        <f>C12</f>
        <v>0.5</v>
      </c>
      <c r="D25" s="63"/>
    </row>
    <row r="26" spans="2:6" x14ac:dyDescent="0.25">
      <c r="B26" s="78" t="s">
        <v>0</v>
      </c>
      <c r="C26" s="79">
        <f>C24+C25</f>
        <v>2</v>
      </c>
      <c r="D26" s="63"/>
    </row>
    <row r="27" spans="2:6" x14ac:dyDescent="0.25">
      <c r="D27" s="63"/>
      <c r="E27" s="63"/>
      <c r="F27" s="63"/>
    </row>
    <row r="28" spans="2:6" x14ac:dyDescent="0.25">
      <c r="D28" s="63"/>
      <c r="E28" s="63"/>
      <c r="F28" s="63"/>
    </row>
    <row r="29" spans="2:6" x14ac:dyDescent="0.25">
      <c r="B29" s="135" t="s">
        <v>24</v>
      </c>
      <c r="C29" s="135"/>
      <c r="D29" s="63"/>
    </row>
    <row r="30" spans="2:6" ht="6" customHeight="1" x14ac:dyDescent="0.25">
      <c r="D30" s="63"/>
    </row>
    <row r="31" spans="2:6" ht="18.95" customHeight="1" x14ac:dyDescent="0.25">
      <c r="B31" s="74" t="s">
        <v>27</v>
      </c>
      <c r="C31" s="80">
        <f>C6*C8</f>
        <v>50000</v>
      </c>
      <c r="D31" s="63"/>
    </row>
    <row r="32" spans="2:6" ht="18.95" customHeight="1" x14ac:dyDescent="0.25">
      <c r="B32" s="85" t="s">
        <v>48</v>
      </c>
      <c r="C32" s="83">
        <f>-C26*C6</f>
        <v>-10000</v>
      </c>
      <c r="D32" s="63"/>
    </row>
    <row r="33" spans="2:9" ht="18.95" customHeight="1" x14ac:dyDescent="0.25">
      <c r="B33" s="102" t="s">
        <v>113</v>
      </c>
      <c r="C33" s="103">
        <f>C31+C32</f>
        <v>40000</v>
      </c>
      <c r="D33" s="63"/>
    </row>
    <row r="34" spans="2:9" ht="18.95" customHeight="1" x14ac:dyDescent="0.25">
      <c r="B34" s="85" t="s">
        <v>47</v>
      </c>
      <c r="C34" s="83">
        <f>-C13</f>
        <v>-1000</v>
      </c>
      <c r="D34" s="63"/>
    </row>
    <row r="35" spans="2:9" ht="18.95" customHeight="1" x14ac:dyDescent="0.25">
      <c r="B35" s="85" t="s">
        <v>63</v>
      </c>
      <c r="C35" s="83">
        <f>-C14</f>
        <v>-300</v>
      </c>
      <c r="D35" s="63"/>
    </row>
    <row r="36" spans="2:9" ht="18.95" customHeight="1" x14ac:dyDescent="0.25">
      <c r="B36" s="102" t="s">
        <v>114</v>
      </c>
      <c r="C36" s="83">
        <f>SUM(C33:C35)</f>
        <v>38700</v>
      </c>
      <c r="D36" s="63"/>
    </row>
    <row r="37" spans="2:9" ht="18.95" customHeight="1" x14ac:dyDescent="0.25">
      <c r="B37" s="85" t="s">
        <v>64</v>
      </c>
      <c r="C37" s="83">
        <f>April!C33</f>
        <v>-1000</v>
      </c>
      <c r="D37" s="63"/>
    </row>
    <row r="38" spans="2:9" ht="18.95" customHeight="1" x14ac:dyDescent="0.25">
      <c r="B38" s="102" t="s">
        <v>115</v>
      </c>
      <c r="C38" s="103">
        <f>C36+C37</f>
        <v>37700</v>
      </c>
      <c r="D38" s="63"/>
    </row>
    <row r="39" spans="2:9" ht="18.95" customHeight="1" x14ac:dyDescent="0.25">
      <c r="B39" s="85" t="s">
        <v>105</v>
      </c>
      <c r="C39" s="83">
        <f>-C16*C17</f>
        <v>-200</v>
      </c>
      <c r="D39" s="63"/>
    </row>
    <row r="40" spans="2:9" ht="18.95" customHeight="1" x14ac:dyDescent="0.25">
      <c r="B40" s="101" t="s">
        <v>116</v>
      </c>
      <c r="C40" s="103">
        <f>C38+C39</f>
        <v>37500</v>
      </c>
      <c r="D40" s="63"/>
    </row>
    <row r="41" spans="2:9" ht="18.95" customHeight="1" x14ac:dyDescent="0.25">
      <c r="B41" s="85" t="s">
        <v>106</v>
      </c>
      <c r="C41" s="83">
        <f>-C19*C40</f>
        <v>-12500</v>
      </c>
      <c r="D41" s="63"/>
    </row>
    <row r="42" spans="2:9" ht="18.95" customHeight="1" x14ac:dyDescent="0.25">
      <c r="B42" s="106" t="s">
        <v>117</v>
      </c>
      <c r="C42" s="107">
        <f>C40+C41</f>
        <v>25000</v>
      </c>
      <c r="D42" s="63"/>
    </row>
    <row r="43" spans="2:9" ht="18.95" customHeight="1" x14ac:dyDescent="0.25">
      <c r="C43" s="104"/>
      <c r="D43" s="63"/>
    </row>
    <row r="44" spans="2:9" ht="18.95" customHeight="1" x14ac:dyDescent="0.25">
      <c r="C44" s="104"/>
      <c r="D44" s="63"/>
    </row>
    <row r="45" spans="2:9" ht="18.95" customHeight="1" x14ac:dyDescent="0.25">
      <c r="B45" s="134" t="s">
        <v>128</v>
      </c>
      <c r="C45" s="134"/>
      <c r="D45" s="63"/>
      <c r="E45" s="138" t="s">
        <v>129</v>
      </c>
      <c r="F45" s="138"/>
    </row>
    <row r="46" spans="2:9" ht="6" customHeight="1" x14ac:dyDescent="0.25">
      <c r="D46" s="63"/>
    </row>
    <row r="47" spans="2:9" ht="18.95" customHeight="1" x14ac:dyDescent="0.25">
      <c r="B47" s="78" t="s">
        <v>6</v>
      </c>
      <c r="C47" s="81">
        <f>April!C52</f>
        <v>4400</v>
      </c>
      <c r="D47" s="63"/>
      <c r="E47" s="78" t="s">
        <v>6</v>
      </c>
      <c r="F47" s="112">
        <f>C47</f>
        <v>4400</v>
      </c>
      <c r="G47" s="113"/>
      <c r="H47" s="113"/>
      <c r="I47" s="113"/>
    </row>
    <row r="48" spans="2:9" ht="6" customHeight="1" x14ac:dyDescent="0.25">
      <c r="D48" s="63"/>
      <c r="F48" s="113"/>
      <c r="G48" s="113"/>
      <c r="H48" s="113"/>
      <c r="I48" s="113"/>
    </row>
    <row r="49" spans="2:9" ht="18.95" customHeight="1" x14ac:dyDescent="0.25">
      <c r="B49" s="74" t="s">
        <v>118</v>
      </c>
      <c r="C49" s="80">
        <v>0</v>
      </c>
      <c r="D49" s="63"/>
      <c r="E49" s="74" t="s">
        <v>135</v>
      </c>
      <c r="F49" s="114">
        <f>C38</f>
        <v>37700</v>
      </c>
      <c r="G49" s="113"/>
      <c r="H49" s="115" t="s">
        <v>132</v>
      </c>
      <c r="I49" s="116">
        <f>April!C50+April!C51</f>
        <v>40000</v>
      </c>
    </row>
    <row r="50" spans="2:9" x14ac:dyDescent="0.25">
      <c r="B50" s="85" t="s">
        <v>119</v>
      </c>
      <c r="C50" s="83">
        <v>0</v>
      </c>
      <c r="D50" s="63"/>
      <c r="E50" s="85" t="s">
        <v>130</v>
      </c>
      <c r="F50" s="110">
        <f>-C37</f>
        <v>1000</v>
      </c>
      <c r="G50" s="113"/>
      <c r="H50" s="117" t="s">
        <v>133</v>
      </c>
      <c r="I50" s="118">
        <f>C76+C79-F80</f>
        <v>86500</v>
      </c>
    </row>
    <row r="51" spans="2:9" x14ac:dyDescent="0.25">
      <c r="B51" s="85" t="s">
        <v>120</v>
      </c>
      <c r="C51" s="83">
        <f>-C5/2</f>
        <v>-4000</v>
      </c>
      <c r="D51" s="63"/>
      <c r="E51" s="85" t="s">
        <v>131</v>
      </c>
      <c r="F51" s="110">
        <f>-I51</f>
        <v>-46500</v>
      </c>
      <c r="G51" s="113"/>
      <c r="H51" s="119" t="s">
        <v>134</v>
      </c>
      <c r="I51" s="120">
        <f>I50-I49</f>
        <v>46500</v>
      </c>
    </row>
    <row r="52" spans="2:9" x14ac:dyDescent="0.25">
      <c r="B52" s="85" t="s">
        <v>121</v>
      </c>
      <c r="C52" s="83">
        <f>-C25*C6</f>
        <v>-2500</v>
      </c>
      <c r="D52" s="63"/>
      <c r="E52" s="85" t="s">
        <v>105</v>
      </c>
      <c r="F52" s="110">
        <f>C55</f>
        <v>-200</v>
      </c>
      <c r="G52" s="113"/>
      <c r="H52" s="113"/>
      <c r="I52" s="113"/>
    </row>
    <row r="53" spans="2:9" x14ac:dyDescent="0.25">
      <c r="B53" s="85" t="s">
        <v>47</v>
      </c>
      <c r="C53" s="83">
        <f>-C13</f>
        <v>-1000</v>
      </c>
      <c r="D53" s="63"/>
      <c r="E53" s="85" t="s">
        <v>122</v>
      </c>
      <c r="F53" s="110">
        <f>C41</f>
        <v>-12500</v>
      </c>
      <c r="G53" s="113"/>
      <c r="H53" s="113"/>
      <c r="I53" s="113"/>
    </row>
    <row r="54" spans="2:9" x14ac:dyDescent="0.25">
      <c r="B54" s="85" t="s">
        <v>63</v>
      </c>
      <c r="C54" s="83">
        <f>-C14</f>
        <v>-300</v>
      </c>
      <c r="D54" s="63"/>
      <c r="E54" s="85"/>
      <c r="F54" s="110"/>
      <c r="G54" s="113"/>
      <c r="H54" s="113"/>
      <c r="I54" s="113"/>
    </row>
    <row r="55" spans="2:9" x14ac:dyDescent="0.25">
      <c r="B55" s="85" t="s">
        <v>105</v>
      </c>
      <c r="C55" s="83">
        <f>C39</f>
        <v>-200</v>
      </c>
      <c r="D55" s="63"/>
      <c r="E55" s="85"/>
      <c r="F55" s="110"/>
      <c r="G55" s="113"/>
      <c r="H55" s="113"/>
      <c r="I55" s="113"/>
    </row>
    <row r="56" spans="2:9" x14ac:dyDescent="0.25">
      <c r="B56" s="85" t="s">
        <v>106</v>
      </c>
      <c r="C56" s="83">
        <f>C41</f>
        <v>-12500</v>
      </c>
      <c r="D56" s="63"/>
      <c r="E56" s="82"/>
      <c r="F56" s="121"/>
      <c r="G56" s="113"/>
      <c r="H56" s="113"/>
      <c r="I56" s="113"/>
    </row>
    <row r="57" spans="2:9" ht="17.100000000000001" customHeight="1" x14ac:dyDescent="0.25">
      <c r="B57" s="106" t="s">
        <v>123</v>
      </c>
      <c r="C57" s="107">
        <f>SUM(C49:C56)</f>
        <v>-20500</v>
      </c>
      <c r="D57" s="63"/>
      <c r="E57" s="106" t="s">
        <v>123</v>
      </c>
      <c r="F57" s="122">
        <f>SUM(F49:F53)</f>
        <v>-20500</v>
      </c>
      <c r="G57" s="113"/>
      <c r="H57" s="113"/>
      <c r="I57" s="113"/>
    </row>
    <row r="58" spans="2:9" ht="6" customHeight="1" x14ac:dyDescent="0.25">
      <c r="D58" s="63"/>
      <c r="F58" s="113"/>
      <c r="G58" s="113"/>
      <c r="H58" s="113"/>
      <c r="I58" s="113"/>
    </row>
    <row r="59" spans="2:9" x14ac:dyDescent="0.25">
      <c r="B59" s="109"/>
      <c r="C59" s="80"/>
      <c r="D59" s="63"/>
      <c r="E59" s="109"/>
      <c r="F59" s="114"/>
      <c r="G59" s="113"/>
      <c r="H59" s="113"/>
      <c r="I59" s="113"/>
    </row>
    <row r="60" spans="2:9" ht="17.100000000000001" customHeight="1" x14ac:dyDescent="0.25">
      <c r="B60" s="106" t="s">
        <v>124</v>
      </c>
      <c r="C60" s="107">
        <v>0</v>
      </c>
      <c r="D60" s="63"/>
      <c r="E60" s="106" t="s">
        <v>124</v>
      </c>
      <c r="F60" s="122">
        <v>0</v>
      </c>
      <c r="G60" s="113"/>
      <c r="H60" s="113"/>
      <c r="I60" s="113"/>
    </row>
    <row r="61" spans="2:9" ht="6" customHeight="1" x14ac:dyDescent="0.25">
      <c r="D61" s="63"/>
      <c r="F61" s="113"/>
      <c r="G61" s="113"/>
      <c r="H61" s="113"/>
      <c r="I61" s="113"/>
    </row>
    <row r="62" spans="2:9" x14ac:dyDescent="0.25">
      <c r="B62" s="74" t="s">
        <v>125</v>
      </c>
      <c r="C62" s="80">
        <f>C16</f>
        <v>20000</v>
      </c>
      <c r="D62" s="63"/>
      <c r="E62" s="74" t="s">
        <v>125</v>
      </c>
      <c r="F62" s="114">
        <f>C62</f>
        <v>20000</v>
      </c>
      <c r="G62" s="113"/>
      <c r="H62" s="113"/>
      <c r="I62" s="113"/>
    </row>
    <row r="63" spans="2:9" x14ac:dyDescent="0.25">
      <c r="B63" s="106" t="s">
        <v>126</v>
      </c>
      <c r="C63" s="107">
        <f>C62</f>
        <v>20000</v>
      </c>
      <c r="D63" s="63"/>
      <c r="E63" s="106" t="s">
        <v>126</v>
      </c>
      <c r="F63" s="122">
        <f>F62</f>
        <v>20000</v>
      </c>
      <c r="G63" s="113"/>
      <c r="H63" s="113"/>
      <c r="I63" s="113"/>
    </row>
    <row r="64" spans="2:9" ht="6" customHeight="1" x14ac:dyDescent="0.25">
      <c r="D64" s="63"/>
      <c r="F64" s="113"/>
      <c r="G64" s="113"/>
      <c r="H64" s="113"/>
      <c r="I64" s="113"/>
    </row>
    <row r="65" spans="2:9" x14ac:dyDescent="0.25">
      <c r="B65" s="78" t="s">
        <v>127</v>
      </c>
      <c r="C65" s="81">
        <f>C57+C60+C63</f>
        <v>-500</v>
      </c>
      <c r="D65" s="63"/>
      <c r="E65" s="78" t="s">
        <v>127</v>
      </c>
      <c r="F65" s="112">
        <f>F57+F60+F63</f>
        <v>-500</v>
      </c>
      <c r="G65" s="113"/>
      <c r="H65" s="113"/>
      <c r="I65" s="113"/>
    </row>
    <row r="66" spans="2:9" ht="6" customHeight="1" x14ac:dyDescent="0.25">
      <c r="D66" s="63"/>
      <c r="F66" s="113"/>
      <c r="G66" s="113"/>
      <c r="H66" s="113"/>
      <c r="I66" s="113"/>
    </row>
    <row r="67" spans="2:9" x14ac:dyDescent="0.25">
      <c r="B67" s="78" t="s">
        <v>11</v>
      </c>
      <c r="C67" s="81">
        <f>C47+C65</f>
        <v>3900</v>
      </c>
      <c r="D67" s="63"/>
      <c r="E67" s="78" t="s">
        <v>11</v>
      </c>
      <c r="F67" s="112">
        <f>F47+F65</f>
        <v>3900</v>
      </c>
      <c r="G67" s="113"/>
      <c r="H67" s="113"/>
      <c r="I67" s="113"/>
    </row>
    <row r="68" spans="2:9" x14ac:dyDescent="0.25">
      <c r="C68" s="108"/>
      <c r="D68" s="63"/>
      <c r="E68" s="90"/>
      <c r="F68" s="105"/>
    </row>
    <row r="69" spans="2:9" x14ac:dyDescent="0.25">
      <c r="D69" s="63"/>
      <c r="E69" s="63"/>
      <c r="F69" s="63"/>
    </row>
    <row r="70" spans="2:9" x14ac:dyDescent="0.25">
      <c r="B70" s="134" t="s">
        <v>12</v>
      </c>
      <c r="C70" s="134"/>
      <c r="D70" s="134"/>
      <c r="E70" s="134"/>
      <c r="F70" s="134"/>
    </row>
    <row r="71" spans="2:9" ht="6" customHeight="1" x14ac:dyDescent="0.25"/>
    <row r="72" spans="2:9" x14ac:dyDescent="0.25">
      <c r="B72" s="131" t="s">
        <v>13</v>
      </c>
      <c r="C72" s="132"/>
      <c r="D72" s="90"/>
      <c r="E72" s="131" t="s">
        <v>68</v>
      </c>
      <c r="F72" s="132"/>
    </row>
    <row r="73" spans="2:9" x14ac:dyDescent="0.25">
      <c r="B73" s="92" t="s">
        <v>69</v>
      </c>
      <c r="C73" s="93">
        <f>April!C47</f>
        <v>36000</v>
      </c>
      <c r="D73" s="90"/>
      <c r="E73" s="94" t="s">
        <v>8</v>
      </c>
      <c r="F73" s="93">
        <f>April!F47</f>
        <v>5000</v>
      </c>
    </row>
    <row r="74" spans="2:9" x14ac:dyDescent="0.25">
      <c r="B74" s="95" t="s">
        <v>70</v>
      </c>
      <c r="C74" s="93">
        <f>April!C48+C37</f>
        <v>-3000</v>
      </c>
      <c r="D74" s="90"/>
      <c r="E74" s="96" t="s">
        <v>74</v>
      </c>
      <c r="F74" s="93">
        <f>April!F48+April!F49</f>
        <v>73400</v>
      </c>
    </row>
    <row r="75" spans="2:9" x14ac:dyDescent="0.25">
      <c r="B75" s="97" t="s">
        <v>71</v>
      </c>
      <c r="C75" s="83">
        <f>C73+C74</f>
        <v>33000</v>
      </c>
      <c r="D75" s="90"/>
      <c r="E75" s="96" t="s">
        <v>75</v>
      </c>
      <c r="F75" s="93">
        <f>C42</f>
        <v>25000</v>
      </c>
    </row>
    <row r="76" spans="2:9" x14ac:dyDescent="0.25">
      <c r="B76" s="82" t="s">
        <v>14</v>
      </c>
      <c r="C76" s="83">
        <f>April!C50+C5-C6*C24</f>
        <v>500</v>
      </c>
      <c r="E76" s="82" t="s">
        <v>72</v>
      </c>
      <c r="F76" s="83">
        <f>SUM(F73:F75)</f>
        <v>103400</v>
      </c>
    </row>
    <row r="77" spans="2:9" x14ac:dyDescent="0.25">
      <c r="B77" s="100" t="s">
        <v>107</v>
      </c>
      <c r="C77" s="83">
        <f>April!C51</f>
        <v>40000</v>
      </c>
      <c r="E77" s="82"/>
      <c r="F77" s="83"/>
    </row>
    <row r="78" spans="2:9" x14ac:dyDescent="0.25">
      <c r="B78" s="100" t="s">
        <v>108</v>
      </c>
      <c r="C78" s="83">
        <f>C31</f>
        <v>50000</v>
      </c>
      <c r="E78" s="82" t="s">
        <v>109</v>
      </c>
      <c r="F78" s="83">
        <f>C16</f>
        <v>20000</v>
      </c>
    </row>
    <row r="79" spans="2:9" x14ac:dyDescent="0.25">
      <c r="B79" s="82" t="s">
        <v>110</v>
      </c>
      <c r="C79" s="83">
        <f>C77+C78</f>
        <v>90000</v>
      </c>
      <c r="D79" s="90"/>
      <c r="E79" s="82"/>
      <c r="F79" s="83"/>
    </row>
    <row r="80" spans="2:9" x14ac:dyDescent="0.25">
      <c r="B80" s="82" t="s">
        <v>15</v>
      </c>
      <c r="C80" s="83">
        <f>C67</f>
        <v>3900</v>
      </c>
      <c r="D80" s="90"/>
      <c r="E80" s="76" t="s">
        <v>111</v>
      </c>
      <c r="F80" s="83">
        <f>C5/2</f>
        <v>4000</v>
      </c>
    </row>
    <row r="81" spans="2:6" x14ac:dyDescent="0.25">
      <c r="B81" s="78" t="s">
        <v>16</v>
      </c>
      <c r="C81" s="81">
        <f>C75+C76+C79+C80</f>
        <v>127400</v>
      </c>
      <c r="E81" s="78" t="s">
        <v>19</v>
      </c>
      <c r="F81" s="81">
        <f>F76+F78+F80</f>
        <v>127400</v>
      </c>
    </row>
  </sheetData>
  <mergeCells count="12">
    <mergeCell ref="B29:C29"/>
    <mergeCell ref="B45:C45"/>
    <mergeCell ref="E45:F45"/>
    <mergeCell ref="B70:F70"/>
    <mergeCell ref="B72:C72"/>
    <mergeCell ref="E72:F72"/>
    <mergeCell ref="B22:C22"/>
    <mergeCell ref="B15:E15"/>
    <mergeCell ref="B18:E18"/>
    <mergeCell ref="A1:G1"/>
    <mergeCell ref="D16:E16"/>
    <mergeCell ref="D17:E17"/>
  </mergeCells>
  <pageMargins left="0.7" right="0.7" top="0.75" bottom="0.75" header="0.3" footer="0.3"/>
  <pageSetup paperSize="9" scale="52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10</vt:i4>
      </vt:variant>
    </vt:vector>
  </HeadingPairs>
  <TitlesOfParts>
    <vt:vector size="24" baseType="lpstr">
      <vt:lpstr>Title</vt:lpstr>
      <vt:lpstr>Start-up-blank</vt:lpstr>
      <vt:lpstr>Start-up</vt:lpstr>
      <vt:lpstr>January-blank</vt:lpstr>
      <vt:lpstr>January</vt:lpstr>
      <vt:lpstr>February-blank</vt:lpstr>
      <vt:lpstr>February</vt:lpstr>
      <vt:lpstr>March-blank</vt:lpstr>
      <vt:lpstr>March</vt:lpstr>
      <vt:lpstr>April-blank</vt:lpstr>
      <vt:lpstr>April</vt:lpstr>
      <vt:lpstr>May - blank</vt:lpstr>
      <vt:lpstr>May - CF analysis</vt:lpstr>
      <vt:lpstr>May</vt:lpstr>
      <vt:lpstr>February!Zone_d_impression</vt:lpstr>
      <vt:lpstr>'February-blank'!Zone_d_impression</vt:lpstr>
      <vt:lpstr>January!Zone_d_impression</vt:lpstr>
      <vt:lpstr>'January-blank'!Zone_d_impression</vt:lpstr>
      <vt:lpstr>'March-blank'!Zone_d_impression</vt:lpstr>
      <vt:lpstr>May!Zone_d_impression</vt:lpstr>
      <vt:lpstr>'May - blank'!Zone_d_impression</vt:lpstr>
      <vt:lpstr>'May - CF analysis'!Zone_d_impression</vt:lpstr>
      <vt:lpstr>'Start-up'!Zone_d_impression</vt:lpstr>
      <vt:lpstr>'Start-up-blank'!Zone_d_impression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PAUL JOFRED MOUYEBISSI NZENGUE</cp:lastModifiedBy>
  <cp:lastPrinted>2020-02-05T14:40:01Z</cp:lastPrinted>
  <dcterms:created xsi:type="dcterms:W3CDTF">2016-12-02T13:33:06Z</dcterms:created>
  <dcterms:modified xsi:type="dcterms:W3CDTF">2024-11-05T22:53:37Z</dcterms:modified>
</cp:coreProperties>
</file>